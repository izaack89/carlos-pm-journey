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ronograma de Actividades" sheetId="2" state="visible" r:id="rId2"/>
    <sheet xmlns:r="http://schemas.openxmlformats.org/officeDocument/2006/relationships" name="Registro de Trabajo" sheetId="3" state="visible" r:id="rId3"/>
    <sheet xmlns:r="http://schemas.openxmlformats.org/officeDocument/2006/relationships" name="Dashboard" sheetId="4" state="visible" r:id="rId4"/>
    <sheet xmlns:r="http://schemas.openxmlformats.org/officeDocument/2006/relationships" name="Tablero Visual" sheetId="5" state="visible" r:id="rId5"/>
  </sheets>
  <definedNames>
    <definedName name="_xlnm._FilterDatabase" localSheetId="2" hidden="1">'Registro de Trabajo'!$A$4:$J$39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i val="1"/>
      <color rgb="00555555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  <font>
      <b val="1"/>
      <color rgb="00000000"/>
      <sz val="10"/>
    </font>
    <font>
      <name val="Calibri"/>
      <b val="1"/>
      <sz val="15"/>
    </font>
    <font>
      <b val="1"/>
      <color rgb="001F4E78"/>
      <sz val="11"/>
    </font>
    <font>
      <b val="1"/>
      <color rgb="00C00000"/>
      <sz val="8"/>
    </font>
  </fonts>
  <fills count="11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FFE699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A9D08E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4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3" fillId="4" borderId="0" pivotButton="0" quotePrefix="0" xfId="0"/>
    <xf numFmtId="0" fontId="9" fillId="0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9">
    <dxf>
      <fill>
        <patternFill patternType="solid">
          <fgColor rgb="00F2F2F2"/>
        </patternFill>
      </fill>
    </dxf>
    <dxf>
      <fill>
        <patternFill patternType="solid">
          <fgColor rgb="00D9E1F2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BDD7EE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A9D08E"/>
        </patternFill>
      </fill>
    </dxf>
    <dxf>
      <fill>
        <patternFill patternType="solid">
          <fgColor rgb="00F8CBAD"/>
        </patternFill>
      </fill>
    </dxf>
    <dxf>
      <font>
        <b val="1"/>
        <color rgb="009C0006"/>
      </font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Tarjetas por columna Kanban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'Dashboard'!$A$5:$A$12</f>
            </numRef>
          </cat>
          <val>
            <numRef>
              <f>'Dashboard'!$C$5:$C$12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Tablero Kanban Interactivo — Despliegue LTE B41 · Telemóvil Costa Rica</t>
        </is>
      </c>
    </row>
    <row r="2">
      <c r="A2" s="2" t="inlineStr">
        <is>
          <t>Herramienta operativa para gestionar sitios y actividades durante la ejecución (W2–W8).</t>
        </is>
      </c>
    </row>
    <row r="4" ht="42" customHeight="1">
      <c r="A4" s="3" t="inlineStr">
        <is>
          <t>¿Para qué sirve?</t>
        </is>
      </c>
      <c r="B4" s="4" t="inlineStr">
        <is>
          <t>Gestionar el flujo de trabajo del proyecto: cada sitio o actividad es una 'tarjeta' que se mueve por las columnas del Kanban conforme avanza.</t>
        </is>
      </c>
    </row>
    <row r="5" ht="42" customHeight="1">
      <c r="A5" s="3" t="inlineStr">
        <is>
          <t>Cómo MOVER una tarjeta</t>
        </is>
      </c>
      <c r="B5" s="4" t="inlineStr">
        <is>
          <t>En la hoja 'Registro de Trabajo', cambia el valor de la columna ESTADO (menú desplegable) — eso 'mueve' la tarjeta a otra columna del tablero. El Dashboard se actualiza solo.</t>
        </is>
      </c>
    </row>
    <row r="6" ht="42" customHeight="1">
      <c r="A6" s="3" t="inlineStr">
        <is>
          <t>Cómo AGREGAR una tarjeta</t>
        </is>
      </c>
      <c r="B6" s="4" t="inlineStr">
        <is>
          <t>Escribe una nueva fila al final del 'Registro de Trabajo': ponle ID, descripción, responsable, estado y semana objetivo. Se cuenta automáticamente.</t>
        </is>
      </c>
    </row>
    <row r="7" ht="42" customHeight="1">
      <c r="A7" s="3" t="inlineStr">
        <is>
          <t>Columnas del Kanban (estados)</t>
        </is>
      </c>
      <c r="B7" s="4" t="inlineStr">
        <is>
          <t>Backlog → Listo para Ventana (WIP 5) → Integración (WIP 3) → Optimización (WIP 3) → Listo para Aceptación (WIP 5) → Aceptación Telemóvil (WIP 5) → Done.  'Bloqueado' es transversal.</t>
        </is>
      </c>
    </row>
    <row r="8" ht="42" customHeight="1">
      <c r="A8" s="3" t="inlineStr">
        <is>
          <t>Límites WIP</t>
        </is>
      </c>
      <c r="B8" s="4" t="inlineStr">
        <is>
          <t>La hoja 'Dashboard' marca en ROJO si una columna excede su límite WIP (regla Lean: no empujar, ayudar a desbloquear).</t>
        </is>
      </c>
    </row>
    <row r="9" ht="42" customHeight="1">
      <c r="A9" s="3" t="inlineStr">
        <is>
          <t>Hoja 'Tablero Visual'</t>
        </is>
      </c>
      <c r="B9" s="4" t="inlineStr">
        <is>
          <t>Vista tipo tablero con las 7 columnas. Puedes filtrar el Registro por Estado (AutoFilter) para ver qué hay en cada columna.</t>
        </is>
      </c>
    </row>
    <row r="10" ht="42" customHeight="1">
      <c r="A10" s="3" t="inlineStr">
        <is>
          <t>Hoja 'Cronograma de Actividades'</t>
        </is>
      </c>
      <c r="B10" s="4" t="inlineStr">
        <is>
          <t>Las actividades del Plan de Trabajo APL con la semana en que deben terminar, según el Gantt OFICIAL del Plan de Trabajo Delivery.xlsx.</t>
        </is>
      </c>
    </row>
    <row r="11" ht="42" customHeight="1">
      <c r="A11" s="3" t="inlineStr">
        <is>
          <t>Subcompetencia</t>
        </is>
      </c>
      <c r="B11" s="4" t="inlineStr">
        <is>
          <t>1.4 Lean &amp; Kanban (controles visuales, WIP, flujo) + 1.1 Planeación Adaptativa.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8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</cols>
  <sheetData>
    <row r="1">
      <c r="A1" s="24" t="inlineStr">
        <is>
          <t>Cronograma de Actividades del Plan de Trabajo APL (Gantt oficial)</t>
        </is>
      </c>
    </row>
    <row r="2">
      <c r="A2" s="2" t="inlineStr">
        <is>
          <t>Extraído del Gantt de 03.PlanTrabajo Delivery.xlsx. Marca ● = semana(s) en que la actividad está activa. La última ● es la semana de finalización.</t>
        </is>
      </c>
    </row>
    <row r="3">
      <c r="A3" s="2" t="inlineStr">
        <is>
          <t>Inicio del proyecto: 3 jun 2026 · 12 semanas (8 ejecución + 4 APL)</t>
        </is>
      </c>
    </row>
    <row r="5" ht="24" customHeight="1">
      <c r="A5" s="5" t="inlineStr">
        <is>
          <t># / Actividad</t>
        </is>
      </c>
      <c r="B5" s="5" t="inlineStr">
        <is>
          <t>Entregable</t>
        </is>
      </c>
      <c r="C5" s="5" t="inlineStr">
        <is>
          <t>W1</t>
        </is>
      </c>
      <c r="D5" s="5" t="inlineStr">
        <is>
          <t>W2</t>
        </is>
      </c>
      <c r="E5" s="5" t="inlineStr">
        <is>
          <t>W3</t>
        </is>
      </c>
      <c r="F5" s="5" t="inlineStr">
        <is>
          <t>W4</t>
        </is>
      </c>
      <c r="G5" s="5" t="inlineStr">
        <is>
          <t>W5</t>
        </is>
      </c>
      <c r="H5" s="5" t="inlineStr">
        <is>
          <t>W6</t>
        </is>
      </c>
      <c r="I5" s="5" t="inlineStr">
        <is>
          <t>W7</t>
        </is>
      </c>
      <c r="J5" s="5" t="inlineStr">
        <is>
          <t>W8</t>
        </is>
      </c>
      <c r="K5" s="5" t="inlineStr">
        <is>
          <t>W9</t>
        </is>
      </c>
      <c r="L5" s="5" t="inlineStr">
        <is>
          <t>W10</t>
        </is>
      </c>
      <c r="M5" s="5" t="inlineStr">
        <is>
          <t>W11</t>
        </is>
      </c>
      <c r="N5" s="5" t="inlineStr">
        <is>
          <t>W12</t>
        </is>
      </c>
    </row>
    <row r="6">
      <c r="A6" s="4" t="inlineStr">
        <is>
          <t>Inicio y Configuración del backlog</t>
        </is>
      </c>
      <c r="B6" s="4" t="inlineStr">
        <is>
          <t>Backlog priorizado</t>
        </is>
      </c>
      <c r="C6" s="25" t="inlineStr">
        <is>
          <t>●</t>
        </is>
      </c>
      <c r="D6" s="26" t="n"/>
      <c r="E6" s="26" t="n"/>
      <c r="F6" s="26" t="n"/>
      <c r="G6" s="26" t="n"/>
      <c r="H6" s="26" t="n"/>
      <c r="I6" s="26" t="n"/>
      <c r="J6" s="26" t="n"/>
      <c r="K6" s="26" t="n"/>
      <c r="L6" s="26" t="n"/>
      <c r="M6" s="26" t="n"/>
      <c r="N6" s="26" t="n"/>
    </row>
    <row r="7">
      <c r="A7" s="4" t="inlineStr">
        <is>
          <t>Selección y priorización de 23 sitios</t>
        </is>
      </c>
      <c r="B7" s="4" t="inlineStr">
        <is>
          <t>Lista de sitios priorizada</t>
        </is>
      </c>
      <c r="C7" s="25" t="inlineStr">
        <is>
          <t>●</t>
        </is>
      </c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</row>
    <row r="8">
      <c r="A8" s="4" t="inlineStr">
        <is>
          <t>Configuración del tablero Kanban</t>
        </is>
      </c>
      <c r="B8" s="4" t="inlineStr">
        <is>
          <t>Tablero visual configurado</t>
        </is>
      </c>
      <c r="C8" s="25" t="inlineStr">
        <is>
          <t>●</t>
        </is>
      </c>
      <c r="D8" s="26" t="n"/>
      <c r="E8" s="26" t="n"/>
      <c r="F8" s="26" t="n"/>
      <c r="G8" s="26" t="n"/>
      <c r="H8" s="26" t="n"/>
      <c r="I8" s="26" t="n"/>
      <c r="J8" s="26" t="n"/>
      <c r="K8" s="26" t="n"/>
      <c r="L8" s="26" t="n"/>
      <c r="M8" s="26" t="n"/>
      <c r="N8" s="26" t="n"/>
    </row>
    <row r="9">
      <c r="A9" s="4" t="inlineStr">
        <is>
          <t>Definición de DoD + Acuerdo de equipo</t>
        </is>
      </c>
      <c r="B9" s="4" t="inlineStr">
        <is>
          <t>DoD + Acuerdo de equipo</t>
        </is>
      </c>
      <c r="C9" s="25" t="inlineStr">
        <is>
          <t>●</t>
        </is>
      </c>
      <c r="D9" s="26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  <c r="N9" s="26" t="n"/>
    </row>
    <row r="10">
      <c r="A10" s="4" t="inlineStr">
        <is>
          <t>Identificación y gestión de involucrados</t>
        </is>
      </c>
      <c r="B10" s="4" t="inlineStr">
        <is>
          <t>Mapa stakeholders + bitácora</t>
        </is>
      </c>
      <c r="C10" s="25" t="inlineStr">
        <is>
          <t>●</t>
        </is>
      </c>
      <c r="D10" s="26" t="n"/>
      <c r="E10" s="26" t="n"/>
      <c r="F10" s="26" t="n"/>
      <c r="G10" s="26" t="n"/>
      <c r="H10" s="26" t="n"/>
      <c r="I10" s="26" t="n"/>
      <c r="J10" s="26" t="n"/>
      <c r="K10" s="26" t="n"/>
      <c r="L10" s="26" t="n"/>
      <c r="M10" s="26" t="n"/>
      <c r="N10" s="26" t="n"/>
    </row>
    <row r="11">
      <c r="A11" s="4" t="inlineStr">
        <is>
          <t>Integración de sitios (golden cluster en W2)</t>
        </is>
      </c>
      <c r="B11" s="4" t="inlineStr">
        <is>
          <t>Seguimiento de integración</t>
        </is>
      </c>
      <c r="C11" s="26" t="n"/>
      <c r="D11" s="27" t="inlineStr">
        <is>
          <t>●</t>
        </is>
      </c>
      <c r="E11" s="27" t="inlineStr">
        <is>
          <t>●</t>
        </is>
      </c>
      <c r="F11" s="27" t="inlineStr">
        <is>
          <t>●</t>
        </is>
      </c>
      <c r="G11" s="27" t="inlineStr">
        <is>
          <t>●</t>
        </is>
      </c>
      <c r="H11" s="27" t="inlineStr">
        <is>
          <t>●</t>
        </is>
      </c>
      <c r="I11" s="25" t="inlineStr">
        <is>
          <t>●</t>
        </is>
      </c>
      <c r="J11" s="26" t="n"/>
      <c r="K11" s="26" t="n"/>
      <c r="L11" s="26" t="n"/>
      <c r="M11" s="26" t="n"/>
      <c r="N11" s="26" t="n"/>
    </row>
    <row r="12">
      <c r="A12" s="4" t="inlineStr">
        <is>
          <t>Optimización y aceptación de sitios</t>
        </is>
      </c>
      <c r="B12" s="4" t="inlineStr">
        <is>
          <t>Seguimiento de aceptación</t>
        </is>
      </c>
      <c r="C12" s="26" t="n"/>
      <c r="D12" s="26" t="n"/>
      <c r="E12" s="27" t="inlineStr">
        <is>
          <t>●</t>
        </is>
      </c>
      <c r="F12" s="27" t="inlineStr">
        <is>
          <t>●</t>
        </is>
      </c>
      <c r="G12" s="27" t="inlineStr">
        <is>
          <t>●</t>
        </is>
      </c>
      <c r="H12" s="27" t="inlineStr">
        <is>
          <t>●</t>
        </is>
      </c>
      <c r="I12" s="27" t="inlineStr">
        <is>
          <t>●</t>
        </is>
      </c>
      <c r="J12" s="25" t="inlineStr">
        <is>
          <t>●</t>
        </is>
      </c>
      <c r="K12" s="26" t="n"/>
      <c r="L12" s="26" t="n"/>
      <c r="M12" s="26" t="n"/>
      <c r="N12" s="26" t="n"/>
    </row>
    <row r="13">
      <c r="A13" s="4" t="inlineStr">
        <is>
          <t>Gestión de riesgos y resolución de bloqueos</t>
        </is>
      </c>
      <c r="B13" s="4" t="inlineStr">
        <is>
          <t>Log de impedimentos resueltos</t>
        </is>
      </c>
      <c r="C13" s="26" t="n"/>
      <c r="D13" s="27" t="inlineStr">
        <is>
          <t>●</t>
        </is>
      </c>
      <c r="E13" s="27" t="inlineStr">
        <is>
          <t>●</t>
        </is>
      </c>
      <c r="F13" s="27" t="inlineStr">
        <is>
          <t>●</t>
        </is>
      </c>
      <c r="G13" s="27" t="inlineStr">
        <is>
          <t>●</t>
        </is>
      </c>
      <c r="H13" s="27" t="inlineStr">
        <is>
          <t>●</t>
        </is>
      </c>
      <c r="I13" s="27" t="inlineStr">
        <is>
          <t>●</t>
        </is>
      </c>
      <c r="J13" s="25" t="inlineStr">
        <is>
          <t>●</t>
        </is>
      </c>
      <c r="K13" s="26" t="n"/>
      <c r="L13" s="26" t="n"/>
      <c r="M13" s="26" t="n"/>
      <c r="N13" s="26" t="n"/>
    </row>
    <row r="14">
      <c r="A14" s="4" t="inlineStr">
        <is>
          <t>Actualización y monitoreo del tablero Kanban</t>
        </is>
      </c>
      <c r="B14" s="4" t="inlineStr">
        <is>
          <t>Tablero Kanban actualizado</t>
        </is>
      </c>
      <c r="C14" s="26" t="n"/>
      <c r="D14" s="27" t="inlineStr">
        <is>
          <t>●</t>
        </is>
      </c>
      <c r="E14" s="27" t="inlineStr">
        <is>
          <t>●</t>
        </is>
      </c>
      <c r="F14" s="27" t="inlineStr">
        <is>
          <t>●</t>
        </is>
      </c>
      <c r="G14" s="27" t="inlineStr">
        <is>
          <t>●</t>
        </is>
      </c>
      <c r="H14" s="27" t="inlineStr">
        <is>
          <t>●</t>
        </is>
      </c>
      <c r="I14" s="27" t="inlineStr">
        <is>
          <t>●</t>
        </is>
      </c>
      <c r="J14" s="25" t="inlineStr">
        <is>
          <t>●</t>
        </is>
      </c>
      <c r="K14" s="26" t="n"/>
      <c r="L14" s="26" t="n"/>
      <c r="M14" s="26" t="n"/>
      <c r="N14" s="26" t="n"/>
    </row>
    <row r="15">
      <c r="A15" s="4" t="inlineStr">
        <is>
          <t>Reuniones de seguimiento + burndown</t>
        </is>
      </c>
      <c r="B15" s="4" t="inlineStr">
        <is>
          <t>Gráfico de avance + bitácora</t>
        </is>
      </c>
      <c r="C15" s="26" t="n"/>
      <c r="D15" s="27" t="inlineStr">
        <is>
          <t>●</t>
        </is>
      </c>
      <c r="E15" s="27" t="inlineStr">
        <is>
          <t>●</t>
        </is>
      </c>
      <c r="F15" s="27" t="inlineStr">
        <is>
          <t>●</t>
        </is>
      </c>
      <c r="G15" s="27" t="inlineStr">
        <is>
          <t>●</t>
        </is>
      </c>
      <c r="H15" s="27" t="inlineStr">
        <is>
          <t>●</t>
        </is>
      </c>
      <c r="I15" s="27" t="inlineStr">
        <is>
          <t>●</t>
        </is>
      </c>
      <c r="J15" s="25" t="inlineStr">
        <is>
          <t>●</t>
        </is>
      </c>
      <c r="K15" s="26" t="n"/>
      <c r="L15" s="26" t="n"/>
      <c r="M15" s="26" t="n"/>
      <c r="N15" s="26" t="n"/>
    </row>
    <row r="16">
      <c r="A16" s="4" t="inlineStr">
        <is>
          <t>Entrega de avance (límite 1 jul)</t>
        </is>
      </c>
      <c r="B16" s="4" t="inlineStr">
        <is>
          <t>Entrega de avance</t>
        </is>
      </c>
      <c r="C16" s="26" t="n"/>
      <c r="D16" s="26" t="n"/>
      <c r="E16" s="26" t="n"/>
      <c r="F16" s="27" t="inlineStr">
        <is>
          <t>●</t>
        </is>
      </c>
      <c r="G16" s="25" t="inlineStr">
        <is>
          <t>●</t>
        </is>
      </c>
      <c r="H16" s="26" t="n"/>
      <c r="I16" s="26" t="n"/>
      <c r="J16" s="26" t="n"/>
      <c r="K16" s="26" t="n"/>
      <c r="L16" s="26" t="n"/>
      <c r="M16" s="26" t="n"/>
      <c r="N16" s="26" t="n"/>
    </row>
    <row r="17">
      <c r="A17" s="4" t="inlineStr">
        <is>
          <t>Sesión de coaching del proyecto</t>
        </is>
      </c>
      <c r="B17" s="4" t="inlineStr">
        <is>
          <t>Sesión de Coaching</t>
        </is>
      </c>
      <c r="C17" s="26" t="n"/>
      <c r="D17" s="26" t="n"/>
      <c r="E17" s="26" t="n"/>
      <c r="F17" s="26" t="n"/>
      <c r="G17" s="26" t="n"/>
      <c r="H17" s="25" t="inlineStr">
        <is>
          <t>●</t>
        </is>
      </c>
      <c r="I17" s="26" t="n"/>
      <c r="J17" s="26" t="n"/>
      <c r="K17" s="26" t="n"/>
      <c r="L17" s="26" t="n"/>
      <c r="M17" s="26" t="n"/>
      <c r="N17" s="26" t="n"/>
    </row>
    <row r="18">
      <c r="A18" s="4" t="inlineStr">
        <is>
          <t>Retrospectivas (proceso y golden cluster)</t>
        </is>
      </c>
      <c r="B18" s="4" t="inlineStr">
        <is>
          <t>Plan de acciones de mejora</t>
        </is>
      </c>
      <c r="C18" s="26" t="n"/>
      <c r="D18" s="26" t="n"/>
      <c r="E18" s="27" t="inlineStr">
        <is>
          <t>●</t>
        </is>
      </c>
      <c r="F18" s="26" t="n"/>
      <c r="G18" s="27" t="inlineStr">
        <is>
          <t>●</t>
        </is>
      </c>
      <c r="H18" s="26" t="n"/>
      <c r="I18" s="27" t="inlineStr">
        <is>
          <t>●</t>
        </is>
      </c>
      <c r="J18" s="26" t="n"/>
      <c r="K18" s="25" t="inlineStr">
        <is>
          <t>●</t>
        </is>
      </c>
      <c r="L18" s="26" t="n"/>
      <c r="M18" s="26" t="n"/>
      <c r="N18" s="26" t="n"/>
    </row>
    <row r="19">
      <c r="A19" s="4" t="inlineStr">
        <is>
          <t>Medición de indicador FTR</t>
        </is>
      </c>
      <c r="B19" s="4" t="inlineStr">
        <is>
          <t>Dashboard de resultados</t>
        </is>
      </c>
      <c r="C19" s="26" t="n"/>
      <c r="D19" s="26" t="n"/>
      <c r="E19" s="27" t="inlineStr">
        <is>
          <t>●</t>
        </is>
      </c>
      <c r="F19" s="27" t="inlineStr">
        <is>
          <t>●</t>
        </is>
      </c>
      <c r="G19" s="27" t="inlineStr">
        <is>
          <t>●</t>
        </is>
      </c>
      <c r="H19" s="27" t="inlineStr">
        <is>
          <t>●</t>
        </is>
      </c>
      <c r="I19" s="27" t="inlineStr">
        <is>
          <t>●</t>
        </is>
      </c>
      <c r="J19" s="27" t="inlineStr">
        <is>
          <t>●</t>
        </is>
      </c>
      <c r="K19" s="25" t="inlineStr">
        <is>
          <t>●</t>
        </is>
      </c>
      <c r="L19" s="26" t="n"/>
      <c r="M19" s="26" t="n"/>
      <c r="N19" s="26" t="n"/>
    </row>
    <row r="20">
      <c r="A20" s="4" t="inlineStr">
        <is>
          <t>Mejora continua y cierre</t>
        </is>
      </c>
      <c r="B20" s="4" t="inlineStr">
        <is>
          <t>—</t>
        </is>
      </c>
      <c r="C20" s="26" t="n"/>
      <c r="D20" s="26" t="n"/>
      <c r="E20" s="27" t="inlineStr">
        <is>
          <t>●</t>
        </is>
      </c>
      <c r="F20" s="27" t="inlineStr">
        <is>
          <t>●</t>
        </is>
      </c>
      <c r="G20" s="27" t="inlineStr">
        <is>
          <t>●</t>
        </is>
      </c>
      <c r="H20" s="27" t="inlineStr">
        <is>
          <t>●</t>
        </is>
      </c>
      <c r="I20" s="27" t="inlineStr">
        <is>
          <t>●</t>
        </is>
      </c>
      <c r="J20" s="27" t="inlineStr">
        <is>
          <t>●</t>
        </is>
      </c>
      <c r="K20" s="28" t="inlineStr">
        <is>
          <t>●</t>
        </is>
      </c>
      <c r="L20" s="28" t="inlineStr">
        <is>
          <t>●</t>
        </is>
      </c>
      <c r="M20" s="25" t="inlineStr">
        <is>
          <t>●</t>
        </is>
      </c>
      <c r="N20" s="26" t="n"/>
    </row>
    <row r="21">
      <c r="A21" s="4" t="inlineStr">
        <is>
          <t>Documentación lecciones + cierre PIDA</t>
        </is>
      </c>
      <c r="B21" s="4" t="inlineStr">
        <is>
          <t>Reporte de cierre + evidencias</t>
        </is>
      </c>
      <c r="C21" s="26" t="n"/>
      <c r="D21" s="26" t="n"/>
      <c r="E21" s="26" t="n"/>
      <c r="F21" s="26" t="n"/>
      <c r="G21" s="26" t="n"/>
      <c r="H21" s="26" t="n"/>
      <c r="I21" s="26" t="n"/>
      <c r="J21" s="26" t="n"/>
      <c r="K21" s="28" t="inlineStr">
        <is>
          <t>●</t>
        </is>
      </c>
      <c r="L21" s="25" t="inlineStr">
        <is>
          <t>●</t>
        </is>
      </c>
      <c r="M21" s="26" t="n"/>
      <c r="N21" s="26" t="n"/>
    </row>
    <row r="22">
      <c r="A22" s="4" t="inlineStr">
        <is>
          <t>Entrega de reporte PIDA (límite 11 ago)</t>
        </is>
      </c>
      <c r="B22" s="4" t="inlineStr">
        <is>
          <t>Reporte PIDA</t>
        </is>
      </c>
      <c r="C22" s="26" t="n"/>
      <c r="D22" s="26" t="n"/>
      <c r="E22" s="26" t="n"/>
      <c r="F22" s="26" t="n"/>
      <c r="G22" s="26" t="n"/>
      <c r="H22" s="26" t="n"/>
      <c r="I22" s="26" t="n"/>
      <c r="J22" s="26" t="n"/>
      <c r="K22" s="26" t="n"/>
      <c r="L22" s="26" t="n"/>
      <c r="M22" s="25" t="inlineStr">
        <is>
          <t>●</t>
        </is>
      </c>
      <c r="N22" s="26" t="n"/>
    </row>
    <row r="24">
      <c r="A24" s="29" t="inlineStr">
        <is>
          <t>🔴 Deadlines duros</t>
        </is>
      </c>
      <c r="C24" s="30" t="n"/>
      <c r="D24" s="30" t="n"/>
      <c r="E24" s="30" t="n"/>
      <c r="F24" s="30" t="n"/>
      <c r="G24" s="31" t="inlineStr">
        <is>
          <t>1 jul</t>
        </is>
      </c>
      <c r="H24" s="30" t="n"/>
      <c r="I24" s="30" t="n"/>
      <c r="J24" s="30" t="n"/>
      <c r="K24" s="30" t="n"/>
      <c r="L24" s="31" t="inlineStr">
        <is>
          <t>11 ago</t>
        </is>
      </c>
      <c r="M24" s="30" t="n"/>
      <c r="N24" s="30" t="n"/>
    </row>
    <row r="26">
      <c r="A26" s="2" t="inlineStr">
        <is>
          <t>Leyenda: ● semana activa · naranja = semana de finalización del entregable · Retrospectivas recurrentes en W3/W5/W7/W9 · Coaching W6 · Entrega de avance W4–W5</t>
        </is>
      </c>
    </row>
  </sheetData>
  <mergeCells count="5">
    <mergeCell ref="A24:B24"/>
    <mergeCell ref="A1:P1"/>
    <mergeCell ref="A26:N26"/>
    <mergeCell ref="A3:P3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42" customWidth="1" min="3" max="3"/>
    <col width="20" customWidth="1" min="4" max="4"/>
    <col width="16" customWidth="1" min="5" max="5"/>
    <col width="16" customWidth="1" min="6" max="6"/>
    <col width="13" customWidth="1" min="7" max="7"/>
    <col width="13" customWidth="1" min="8" max="8"/>
    <col width="10" customWidth="1" min="9" max="9"/>
    <col width="26" customWidth="1" min="10" max="10"/>
  </cols>
  <sheetData>
    <row r="1">
      <c r="A1" s="1" t="inlineStr">
        <is>
          <t>Registro de Trabajo (motor del tablero) — cambia ESTADO para mover una tarjeta</t>
        </is>
      </c>
    </row>
    <row r="2">
      <c r="A2" s="2" t="inlineStr">
        <is>
          <t>Pre-cargado con los 23 sitios. Agrega actividades al final si lo necesitas. 🔶 zonas y fechas son placeholders a confirmar.</t>
        </is>
      </c>
    </row>
    <row r="4" ht="30" customHeight="1">
      <c r="A4" s="5" t="inlineStr">
        <is>
          <t>ID</t>
        </is>
      </c>
      <c r="B4" s="5" t="inlineStr">
        <is>
          <t>Tipo</t>
        </is>
      </c>
      <c r="C4" s="5" t="inlineStr">
        <is>
          <t>Descripción</t>
        </is>
      </c>
      <c r="D4" s="5" t="inlineStr">
        <is>
          <t>Estado</t>
        </is>
      </c>
      <c r="E4" s="5" t="inlineStr">
        <is>
          <t>Responsable</t>
        </is>
      </c>
      <c r="F4" s="5" t="inlineStr">
        <is>
          <t>Semana objetivo (Done)</t>
        </is>
      </c>
      <c r="G4" s="5" t="inlineStr">
        <is>
          <t>Fecha entrada</t>
        </is>
      </c>
      <c r="H4" s="5" t="inlineStr">
        <is>
          <t>Fecha Done</t>
        </is>
      </c>
      <c r="I4" s="5" t="inlineStr">
        <is>
          <t>FTR</t>
        </is>
      </c>
      <c r="J4" s="5" t="inlineStr">
        <is>
          <t>Notas</t>
        </is>
      </c>
    </row>
    <row r="5">
      <c r="A5" s="6" t="inlineStr">
        <is>
          <t>CR-001</t>
        </is>
      </c>
      <c r="B5" s="7" t="inlineStr">
        <is>
          <t>Sitio</t>
        </is>
      </c>
      <c r="C5" s="4" t="inlineStr">
        <is>
          <t>🔶 Zona 1 (San José Centro) — Corredor comercial</t>
        </is>
      </c>
      <c r="D5" s="7" t="inlineStr">
        <is>
          <t>Backlog</t>
        </is>
      </c>
      <c r="E5" s="4" t="inlineStr">
        <is>
          <t>Diego / Marco</t>
        </is>
      </c>
      <c r="F5" s="7" t="inlineStr">
        <is>
          <t>W3</t>
        </is>
      </c>
      <c r="G5" s="7" t="inlineStr"/>
      <c r="H5" s="7" t="inlineStr"/>
      <c r="I5" s="7" t="inlineStr"/>
      <c r="J5" s="4" t="inlineStr"/>
    </row>
    <row r="6">
      <c r="A6" s="6" t="inlineStr">
        <is>
          <t>CR-003</t>
        </is>
      </c>
      <c r="B6" s="7" t="inlineStr">
        <is>
          <t>Sitio</t>
        </is>
      </c>
      <c r="C6" s="4" t="inlineStr">
        <is>
          <t>🔶 Zona 2 (Escazú) — Urbano denso</t>
        </is>
      </c>
      <c r="D6" s="7" t="inlineStr">
        <is>
          <t>Backlog</t>
        </is>
      </c>
      <c r="E6" s="4" t="inlineStr">
        <is>
          <t>Diego / Marco</t>
        </is>
      </c>
      <c r="F6" s="7" t="inlineStr">
        <is>
          <t>W3</t>
        </is>
      </c>
      <c r="G6" s="7" t="inlineStr"/>
      <c r="H6" s="7" t="inlineStr"/>
      <c r="I6" s="7" t="inlineStr"/>
      <c r="J6" s="4" t="inlineStr"/>
    </row>
    <row r="7">
      <c r="A7" s="6" t="inlineStr">
        <is>
          <t>CR-005</t>
        </is>
      </c>
      <c r="B7" s="7" t="inlineStr">
        <is>
          <t>Sitio</t>
        </is>
      </c>
      <c r="C7" s="4" t="inlineStr">
        <is>
          <t>🔶 Zona 3 (Curridabat) — Urbano denso</t>
        </is>
      </c>
      <c r="D7" s="7" t="inlineStr">
        <is>
          <t>Backlog</t>
        </is>
      </c>
      <c r="E7" s="4" t="inlineStr">
        <is>
          <t>Diego / Sofía</t>
        </is>
      </c>
      <c r="F7" s="7" t="inlineStr">
        <is>
          <t>W3</t>
        </is>
      </c>
      <c r="G7" s="7" t="inlineStr"/>
      <c r="H7" s="7" t="inlineStr"/>
      <c r="I7" s="7" t="inlineStr"/>
      <c r="J7" s="4" t="inlineStr"/>
    </row>
    <row r="8">
      <c r="A8" s="6" t="inlineStr">
        <is>
          <t>CR-002</t>
        </is>
      </c>
      <c r="B8" s="7" t="inlineStr">
        <is>
          <t>Sitio</t>
        </is>
      </c>
      <c r="C8" s="4" t="inlineStr">
        <is>
          <t>🔶 Zona 6 (San José Oeste) — Corredor</t>
        </is>
      </c>
      <c r="D8" s="7" t="inlineStr">
        <is>
          <t>Backlog</t>
        </is>
      </c>
      <c r="E8" s="4" t="inlineStr">
        <is>
          <t>Diego / Marco</t>
        </is>
      </c>
      <c r="F8" s="7" t="inlineStr">
        <is>
          <t>W4</t>
        </is>
      </c>
      <c r="G8" s="7" t="inlineStr"/>
      <c r="H8" s="7" t="inlineStr"/>
      <c r="I8" s="7" t="inlineStr"/>
      <c r="J8" s="4" t="inlineStr"/>
    </row>
    <row r="9">
      <c r="A9" s="6" t="inlineStr">
        <is>
          <t>CR-004</t>
        </is>
      </c>
      <c r="B9" s="7" t="inlineStr">
        <is>
          <t>Sitio</t>
        </is>
      </c>
      <c r="C9" s="4" t="inlineStr">
        <is>
          <t>🔶 Zona 7 (Santa Ana) — Urbano denso</t>
        </is>
      </c>
      <c r="D9" s="7" t="inlineStr">
        <is>
          <t>Backlog</t>
        </is>
      </c>
      <c r="E9" s="4" t="inlineStr">
        <is>
          <t>Diego / Marco</t>
        </is>
      </c>
      <c r="F9" s="7" t="inlineStr">
        <is>
          <t>W4</t>
        </is>
      </c>
      <c r="G9" s="7" t="inlineStr"/>
      <c r="H9" s="7" t="inlineStr"/>
      <c r="I9" s="7" t="inlineStr"/>
      <c r="J9" s="4" t="inlineStr"/>
    </row>
    <row r="10">
      <c r="A10" s="6" t="inlineStr">
        <is>
          <t>CR-006</t>
        </is>
      </c>
      <c r="B10" s="7" t="inlineStr">
        <is>
          <t>Sitio</t>
        </is>
      </c>
      <c r="C10" s="4" t="inlineStr">
        <is>
          <t>🔶 Zona 8 (Sabana) — Urbano denso</t>
        </is>
      </c>
      <c r="D10" s="7" t="inlineStr">
        <is>
          <t>Backlog</t>
        </is>
      </c>
      <c r="E10" s="4" t="inlineStr">
        <is>
          <t>Ana / Marco</t>
        </is>
      </c>
      <c r="F10" s="7" t="inlineStr">
        <is>
          <t>W5</t>
        </is>
      </c>
      <c r="G10" s="7" t="inlineStr"/>
      <c r="H10" s="7" t="inlineStr"/>
      <c r="I10" s="7" t="inlineStr"/>
      <c r="J10" s="4" t="inlineStr"/>
    </row>
    <row r="11">
      <c r="A11" s="6" t="inlineStr">
        <is>
          <t>CR-007</t>
        </is>
      </c>
      <c r="B11" s="7" t="inlineStr">
        <is>
          <t>Sitio</t>
        </is>
      </c>
      <c r="C11" s="4" t="inlineStr">
        <is>
          <t>🔶 Zona 9 (Tibás) — Urbano denso</t>
        </is>
      </c>
      <c r="D11" s="7" t="inlineStr">
        <is>
          <t>Backlog</t>
        </is>
      </c>
      <c r="E11" s="4" t="inlineStr">
        <is>
          <t>Diego / Sofía</t>
        </is>
      </c>
      <c r="F11" s="7" t="inlineStr">
        <is>
          <t>W5</t>
        </is>
      </c>
      <c r="G11" s="7" t="inlineStr"/>
      <c r="H11" s="7" t="inlineStr"/>
      <c r="I11" s="7" t="inlineStr"/>
      <c r="J11" s="4" t="inlineStr"/>
    </row>
    <row r="12">
      <c r="A12" s="6" t="inlineStr">
        <is>
          <t>CR-008</t>
        </is>
      </c>
      <c r="B12" s="7" t="inlineStr">
        <is>
          <t>Sitio</t>
        </is>
      </c>
      <c r="C12" s="4" t="inlineStr">
        <is>
          <t>🔶 Zona 10 (Moravia) — Urbano denso</t>
        </is>
      </c>
      <c r="D12" s="7" t="inlineStr">
        <is>
          <t>Backlog</t>
        </is>
      </c>
      <c r="E12" s="4" t="inlineStr">
        <is>
          <t>Hugo / Sofía</t>
        </is>
      </c>
      <c r="F12" s="7" t="inlineStr">
        <is>
          <t>W5</t>
        </is>
      </c>
      <c r="G12" s="7" t="inlineStr"/>
      <c r="H12" s="7" t="inlineStr"/>
      <c r="I12" s="7" t="inlineStr"/>
      <c r="J12" s="4" t="inlineStr"/>
    </row>
    <row r="13">
      <c r="A13" s="6" t="inlineStr">
        <is>
          <t>CR-009</t>
        </is>
      </c>
      <c r="B13" s="7" t="inlineStr">
        <is>
          <t>Sitio</t>
        </is>
      </c>
      <c r="C13" s="4" t="inlineStr">
        <is>
          <t>🔶 Zona 11 (Pavas) — Urbano denso</t>
        </is>
      </c>
      <c r="D13" s="7" t="inlineStr">
        <is>
          <t>Backlog</t>
        </is>
      </c>
      <c r="E13" s="4" t="inlineStr">
        <is>
          <t>Ana / Sofía</t>
        </is>
      </c>
      <c r="F13" s="7" t="inlineStr">
        <is>
          <t>W5</t>
        </is>
      </c>
      <c r="G13" s="7" t="inlineStr"/>
      <c r="H13" s="7" t="inlineStr"/>
      <c r="I13" s="7" t="inlineStr"/>
      <c r="J13" s="4" t="inlineStr"/>
    </row>
    <row r="14">
      <c r="A14" s="6" t="inlineStr">
        <is>
          <t>CR-010</t>
        </is>
      </c>
      <c r="B14" s="7" t="inlineStr">
        <is>
          <t>Sitio</t>
        </is>
      </c>
      <c r="C14" s="4" t="inlineStr">
        <is>
          <t>🔶 Zona 15 (San Pedro) — Urbano denso</t>
        </is>
      </c>
      <c r="D14" s="7" t="inlineStr">
        <is>
          <t>Backlog</t>
        </is>
      </c>
      <c r="E14" s="4" t="inlineStr">
        <is>
          <t>Sandeep / Marco</t>
        </is>
      </c>
      <c r="F14" s="7" t="inlineStr">
        <is>
          <t>W6</t>
        </is>
      </c>
      <c r="G14" s="7" t="inlineStr"/>
      <c r="H14" s="7" t="inlineStr"/>
      <c r="I14" s="7" t="inlineStr"/>
      <c r="J14" s="4" t="inlineStr"/>
    </row>
    <row r="15">
      <c r="A15" s="6" t="inlineStr">
        <is>
          <t>CR-011</t>
        </is>
      </c>
      <c r="B15" s="7" t="inlineStr">
        <is>
          <t>Sitio</t>
        </is>
      </c>
      <c r="C15" s="4" t="inlineStr">
        <is>
          <t>🔶 Zona 12 (Desamparados) — Urbano denso</t>
        </is>
      </c>
      <c r="D15" s="7" t="inlineStr">
        <is>
          <t>Backlog</t>
        </is>
      </c>
      <c r="E15" s="4" t="inlineStr">
        <is>
          <t>Hugo / Patricia</t>
        </is>
      </c>
      <c r="F15" s="7" t="inlineStr">
        <is>
          <t>W6</t>
        </is>
      </c>
      <c r="G15" s="7" t="inlineStr"/>
      <c r="H15" s="7" t="inlineStr"/>
      <c r="I15" s="7" t="inlineStr"/>
      <c r="J15" s="4" t="inlineStr"/>
    </row>
    <row r="16">
      <c r="A16" s="6" t="inlineStr">
        <is>
          <t>CR-012</t>
        </is>
      </c>
      <c r="B16" s="7" t="inlineStr">
        <is>
          <t>Sitio</t>
        </is>
      </c>
      <c r="C16" s="4" t="inlineStr">
        <is>
          <t>🔶 Zona 13 (Goicoechea) — Urbano denso</t>
        </is>
      </c>
      <c r="D16" s="7" t="inlineStr">
        <is>
          <t>Backlog</t>
        </is>
      </c>
      <c r="E16" s="4" t="inlineStr">
        <is>
          <t>Ana / Patricia</t>
        </is>
      </c>
      <c r="F16" s="7" t="inlineStr">
        <is>
          <t>W6</t>
        </is>
      </c>
      <c r="G16" s="7" t="inlineStr"/>
      <c r="H16" s="7" t="inlineStr"/>
      <c r="I16" s="7" t="inlineStr"/>
      <c r="J16" s="4" t="inlineStr"/>
    </row>
    <row r="17">
      <c r="A17" s="6" t="inlineStr">
        <is>
          <t>CR-013</t>
        </is>
      </c>
      <c r="B17" s="7" t="inlineStr">
        <is>
          <t>Sitio</t>
        </is>
      </c>
      <c r="C17" s="4" t="inlineStr">
        <is>
          <t>🔶 Zona 14 (Hatillo) — Urbano denso</t>
        </is>
      </c>
      <c r="D17" s="7" t="inlineStr">
        <is>
          <t>Backlog</t>
        </is>
      </c>
      <c r="E17" s="4" t="inlineStr">
        <is>
          <t>Hugo / Sofía</t>
        </is>
      </c>
      <c r="F17" s="7" t="inlineStr">
        <is>
          <t>W6</t>
        </is>
      </c>
      <c r="G17" s="7" t="inlineStr"/>
      <c r="H17" s="7" t="inlineStr"/>
      <c r="I17" s="7" t="inlineStr"/>
      <c r="J17" s="4" t="inlineStr"/>
    </row>
    <row r="18">
      <c r="A18" s="6" t="inlineStr">
        <is>
          <t>CR-014</t>
        </is>
      </c>
      <c r="B18" s="7" t="inlineStr">
        <is>
          <t>Sitio</t>
        </is>
      </c>
      <c r="C18" s="4" t="inlineStr">
        <is>
          <t>🔶 Zona 4 (Heredia) — Suburbano</t>
        </is>
      </c>
      <c r="D18" s="7" t="inlineStr">
        <is>
          <t>Backlog</t>
        </is>
      </c>
      <c r="E18" s="4" t="inlineStr">
        <is>
          <t>Ana / Marco</t>
        </is>
      </c>
      <c r="F18" s="7" t="inlineStr">
        <is>
          <t>W6</t>
        </is>
      </c>
      <c r="G18" s="7" t="inlineStr"/>
      <c r="H18" s="7" t="inlineStr"/>
      <c r="I18" s="7" t="inlineStr"/>
      <c r="J18" s="4" t="inlineStr"/>
    </row>
    <row r="19">
      <c r="A19" s="6" t="inlineStr">
        <is>
          <t>CR-015</t>
        </is>
      </c>
      <c r="B19" s="7" t="inlineStr">
        <is>
          <t>Sitio</t>
        </is>
      </c>
      <c r="C19" s="4" t="inlineStr">
        <is>
          <t>🔶 Zona 16 (Cartago) — Suburbano</t>
        </is>
      </c>
      <c r="D19" s="7" t="inlineStr">
        <is>
          <t>Backlog</t>
        </is>
      </c>
      <c r="E19" s="4" t="inlineStr">
        <is>
          <t>Ana / Patricia</t>
        </is>
      </c>
      <c r="F19" s="7" t="inlineStr">
        <is>
          <t>W7</t>
        </is>
      </c>
      <c r="G19" s="7" t="inlineStr"/>
      <c r="H19" s="7" t="inlineStr"/>
      <c r="I19" s="7" t="inlineStr"/>
      <c r="J19" s="4" t="inlineStr"/>
    </row>
    <row r="20">
      <c r="A20" s="6" t="inlineStr">
        <is>
          <t>CR-016</t>
        </is>
      </c>
      <c r="B20" s="7" t="inlineStr">
        <is>
          <t>Sitio</t>
        </is>
      </c>
      <c r="C20" s="4" t="inlineStr">
        <is>
          <t>🔶 Zona 20 (Cartago Centro) — Suburbano</t>
        </is>
      </c>
      <c r="D20" s="7" t="inlineStr">
        <is>
          <t>Backlog</t>
        </is>
      </c>
      <c r="E20" s="4" t="inlineStr">
        <is>
          <t>Hugo / Patricia</t>
        </is>
      </c>
      <c r="F20" s="7" t="inlineStr">
        <is>
          <t>W7</t>
        </is>
      </c>
      <c r="G20" s="7" t="inlineStr"/>
      <c r="H20" s="7" t="inlineStr"/>
      <c r="I20" s="7" t="inlineStr"/>
      <c r="J20" s="4" t="inlineStr"/>
    </row>
    <row r="21">
      <c r="A21" s="6" t="inlineStr">
        <is>
          <t>CR-018</t>
        </is>
      </c>
      <c r="B21" s="7" t="inlineStr">
        <is>
          <t>Sitio</t>
        </is>
      </c>
      <c r="C21" s="4" t="inlineStr">
        <is>
          <t>🔶 Zona 17 (Coronado) — Suburbano</t>
        </is>
      </c>
      <c r="D21" s="7" t="inlineStr">
        <is>
          <t>Backlog</t>
        </is>
      </c>
      <c r="E21" s="4" t="inlineStr">
        <is>
          <t>Hugo / Sofía</t>
        </is>
      </c>
      <c r="F21" s="7" t="inlineStr">
        <is>
          <t>W7</t>
        </is>
      </c>
      <c r="G21" s="7" t="inlineStr"/>
      <c r="H21" s="7" t="inlineStr"/>
      <c r="I21" s="7" t="inlineStr"/>
      <c r="J21" s="4" t="inlineStr"/>
    </row>
    <row r="22">
      <c r="A22" s="6" t="inlineStr">
        <is>
          <t>CR-019</t>
        </is>
      </c>
      <c r="B22" s="7" t="inlineStr">
        <is>
          <t>Sitio</t>
        </is>
      </c>
      <c r="C22" s="4" t="inlineStr">
        <is>
          <t>🔶 Zona 5 (Alajuela) — Suburbano</t>
        </is>
      </c>
      <c r="D22" s="7" t="inlineStr">
        <is>
          <t>Backlog</t>
        </is>
      </c>
      <c r="E22" s="4" t="inlineStr">
        <is>
          <t>Hugo / Patricia</t>
        </is>
      </c>
      <c r="F22" s="7" t="inlineStr">
        <is>
          <t>W7</t>
        </is>
      </c>
      <c r="G22" s="7" t="inlineStr"/>
      <c r="H22" s="7" t="inlineStr"/>
      <c r="I22" s="7" t="inlineStr"/>
      <c r="J22" s="4" t="inlineStr"/>
    </row>
    <row r="23">
      <c r="A23" s="6" t="inlineStr">
        <is>
          <t>CR-021</t>
        </is>
      </c>
      <c r="B23" s="7" t="inlineStr">
        <is>
          <t>Sitio</t>
        </is>
      </c>
      <c r="C23" s="4" t="inlineStr">
        <is>
          <t>🔶 Zona 18 (Heredia Centro) — Suburbano</t>
        </is>
      </c>
      <c r="D23" s="7" t="inlineStr">
        <is>
          <t>Backlog</t>
        </is>
      </c>
      <c r="E23" s="4" t="inlineStr">
        <is>
          <t>Sandeep / Patricia</t>
        </is>
      </c>
      <c r="F23" s="7" t="inlineStr">
        <is>
          <t>W7</t>
        </is>
      </c>
      <c r="G23" s="7" t="inlineStr"/>
      <c r="H23" s="7" t="inlineStr"/>
      <c r="I23" s="7" t="inlineStr"/>
      <c r="J23" s="4" t="inlineStr"/>
    </row>
    <row r="24">
      <c r="A24" s="6" t="inlineStr">
        <is>
          <t>CR-022</t>
        </is>
      </c>
      <c r="B24" s="7" t="inlineStr">
        <is>
          <t>Sitio</t>
        </is>
      </c>
      <c r="C24" s="4" t="inlineStr">
        <is>
          <t>🔶 Zona 19 (Alajuela Centro) — Suburbano</t>
        </is>
      </c>
      <c r="D24" s="7" t="inlineStr">
        <is>
          <t>Backlog</t>
        </is>
      </c>
      <c r="E24" s="4" t="inlineStr">
        <is>
          <t>Ana / Sofía</t>
        </is>
      </c>
      <c r="F24" s="7" t="inlineStr">
        <is>
          <t>W7</t>
        </is>
      </c>
      <c r="G24" s="7" t="inlineStr"/>
      <c r="H24" s="7" t="inlineStr"/>
      <c r="I24" s="7" t="inlineStr"/>
      <c r="J24" s="4" t="inlineStr"/>
    </row>
    <row r="25">
      <c r="A25" s="6" t="inlineStr">
        <is>
          <t>CR-017</t>
        </is>
      </c>
      <c r="B25" s="7" t="inlineStr">
        <is>
          <t>Sitio</t>
        </is>
      </c>
      <c r="C25" s="4" t="inlineStr">
        <is>
          <t>🔶 Zona 21 (Tres Ríos) — Suburbano</t>
        </is>
      </c>
      <c r="D25" s="7" t="inlineStr">
        <is>
          <t>Backlog</t>
        </is>
      </c>
      <c r="E25" s="4" t="inlineStr">
        <is>
          <t>Ana / Sofía</t>
        </is>
      </c>
      <c r="F25" s="7" t="inlineStr">
        <is>
          <t>W8</t>
        </is>
      </c>
      <c r="G25" s="7" t="inlineStr"/>
      <c r="H25" s="7" t="inlineStr"/>
      <c r="I25" s="7" t="inlineStr"/>
      <c r="J25" s="4" t="inlineStr"/>
    </row>
    <row r="26">
      <c r="A26" s="6" t="inlineStr">
        <is>
          <t>CR-020</t>
        </is>
      </c>
      <c r="B26" s="7" t="inlineStr">
        <is>
          <t>Sitio</t>
        </is>
      </c>
      <c r="C26" s="4" t="inlineStr">
        <is>
          <t>🔶 Zona 22 (Aserrí) — Suburbano</t>
        </is>
      </c>
      <c r="D26" s="7" t="inlineStr">
        <is>
          <t>Backlog</t>
        </is>
      </c>
      <c r="E26" s="4" t="inlineStr">
        <is>
          <t>Hugo / Patricia</t>
        </is>
      </c>
      <c r="F26" s="7" t="inlineStr">
        <is>
          <t>W8</t>
        </is>
      </c>
      <c r="G26" s="7" t="inlineStr"/>
      <c r="H26" s="7" t="inlineStr"/>
      <c r="I26" s="7" t="inlineStr"/>
      <c r="J26" s="4" t="inlineStr"/>
    </row>
    <row r="27">
      <c r="A27" s="6" t="inlineStr">
        <is>
          <t>CR-023</t>
        </is>
      </c>
      <c r="B27" s="7" t="inlineStr">
        <is>
          <t>Sitio</t>
        </is>
      </c>
      <c r="C27" s="4" t="inlineStr">
        <is>
          <t>🔶 Zona 23 (Liberia) — Suburbano (readiness pend.)</t>
        </is>
      </c>
      <c r="D27" s="7" t="inlineStr">
        <is>
          <t>Backlog</t>
        </is>
      </c>
      <c r="E27" s="4" t="inlineStr">
        <is>
          <t>Sandeep / Sofía</t>
        </is>
      </c>
      <c r="F27" s="7" t="inlineStr">
        <is>
          <t>W8</t>
        </is>
      </c>
      <c r="G27" s="7" t="inlineStr"/>
      <c r="H27" s="7" t="inlineStr"/>
      <c r="I27" s="7" t="inlineStr"/>
      <c r="J27" s="4" t="inlineStr"/>
    </row>
    <row r="28">
      <c r="A28" s="7" t="n"/>
      <c r="B28" s="7" t="n"/>
      <c r="C28" s="4" t="n"/>
      <c r="D28" s="7" t="n"/>
      <c r="E28" s="4" t="n"/>
      <c r="F28" s="7" t="n"/>
      <c r="G28" s="7" t="n"/>
      <c r="H28" s="7" t="n"/>
      <c r="I28" s="7" t="n"/>
      <c r="J28" s="4" t="n"/>
    </row>
    <row r="29">
      <c r="A29" s="7" t="n"/>
      <c r="B29" s="7" t="n"/>
      <c r="C29" s="4" t="n"/>
      <c r="D29" s="7" t="n"/>
      <c r="E29" s="4" t="n"/>
      <c r="F29" s="7" t="n"/>
      <c r="G29" s="7" t="n"/>
      <c r="H29" s="7" t="n"/>
      <c r="I29" s="7" t="n"/>
      <c r="J29" s="4" t="n"/>
    </row>
    <row r="30">
      <c r="A30" s="7" t="n"/>
      <c r="B30" s="7" t="n"/>
      <c r="C30" s="4" t="n"/>
      <c r="D30" s="7" t="n"/>
      <c r="E30" s="4" t="n"/>
      <c r="F30" s="7" t="n"/>
      <c r="G30" s="7" t="n"/>
      <c r="H30" s="7" t="n"/>
      <c r="I30" s="7" t="n"/>
      <c r="J30" s="4" t="n"/>
    </row>
    <row r="31">
      <c r="A31" s="7" t="n"/>
      <c r="B31" s="7" t="n"/>
      <c r="C31" s="4" t="n"/>
      <c r="D31" s="7" t="n"/>
      <c r="E31" s="4" t="n"/>
      <c r="F31" s="7" t="n"/>
      <c r="G31" s="7" t="n"/>
      <c r="H31" s="7" t="n"/>
      <c r="I31" s="7" t="n"/>
      <c r="J31" s="4" t="n"/>
    </row>
    <row r="32">
      <c r="A32" s="7" t="n"/>
      <c r="B32" s="7" t="n"/>
      <c r="C32" s="4" t="n"/>
      <c r="D32" s="7" t="n"/>
      <c r="E32" s="4" t="n"/>
      <c r="F32" s="7" t="n"/>
      <c r="G32" s="7" t="n"/>
      <c r="H32" s="7" t="n"/>
      <c r="I32" s="7" t="n"/>
      <c r="J32" s="4" t="n"/>
    </row>
    <row r="33">
      <c r="A33" s="7" t="n"/>
      <c r="B33" s="7" t="n"/>
      <c r="C33" s="4" t="n"/>
      <c r="D33" s="7" t="n"/>
      <c r="E33" s="4" t="n"/>
      <c r="F33" s="7" t="n"/>
      <c r="G33" s="7" t="n"/>
      <c r="H33" s="7" t="n"/>
      <c r="I33" s="7" t="n"/>
      <c r="J33" s="4" t="n"/>
    </row>
    <row r="34">
      <c r="A34" s="7" t="n"/>
      <c r="B34" s="7" t="n"/>
      <c r="C34" s="4" t="n"/>
      <c r="D34" s="7" t="n"/>
      <c r="E34" s="4" t="n"/>
      <c r="F34" s="7" t="n"/>
      <c r="G34" s="7" t="n"/>
      <c r="H34" s="7" t="n"/>
      <c r="I34" s="7" t="n"/>
      <c r="J34" s="4" t="n"/>
    </row>
    <row r="35">
      <c r="A35" s="7" t="n"/>
      <c r="B35" s="7" t="n"/>
      <c r="C35" s="4" t="n"/>
      <c r="D35" s="7" t="n"/>
      <c r="E35" s="4" t="n"/>
      <c r="F35" s="7" t="n"/>
      <c r="G35" s="7" t="n"/>
      <c r="H35" s="7" t="n"/>
      <c r="I35" s="7" t="n"/>
      <c r="J35" s="4" t="n"/>
    </row>
    <row r="36">
      <c r="A36" s="7" t="n"/>
      <c r="B36" s="7" t="n"/>
      <c r="C36" s="4" t="n"/>
      <c r="D36" s="7" t="n"/>
      <c r="E36" s="4" t="n"/>
      <c r="F36" s="7" t="n"/>
      <c r="G36" s="7" t="n"/>
      <c r="H36" s="7" t="n"/>
      <c r="I36" s="7" t="n"/>
      <c r="J36" s="4" t="n"/>
    </row>
    <row r="37">
      <c r="A37" s="7" t="n"/>
      <c r="B37" s="7" t="n"/>
      <c r="C37" s="4" t="n"/>
      <c r="D37" s="7" t="n"/>
      <c r="E37" s="4" t="n"/>
      <c r="F37" s="7" t="n"/>
      <c r="G37" s="7" t="n"/>
      <c r="H37" s="7" t="n"/>
      <c r="I37" s="7" t="n"/>
      <c r="J37" s="4" t="n"/>
    </row>
    <row r="38">
      <c r="A38" s="7" t="n"/>
      <c r="B38" s="7" t="n"/>
      <c r="C38" s="4" t="n"/>
      <c r="D38" s="7" t="n"/>
      <c r="E38" s="4" t="n"/>
      <c r="F38" s="7" t="n"/>
      <c r="G38" s="7" t="n"/>
      <c r="H38" s="7" t="n"/>
      <c r="I38" s="7" t="n"/>
      <c r="J38" s="4" t="n"/>
    </row>
    <row r="39">
      <c r="A39" s="7" t="n"/>
      <c r="B39" s="7" t="n"/>
      <c r="C39" s="4" t="n"/>
      <c r="D39" s="7" t="n"/>
      <c r="E39" s="4" t="n"/>
      <c r="F39" s="7" t="n"/>
      <c r="G39" s="7" t="n"/>
      <c r="H39" s="7" t="n"/>
      <c r="I39" s="7" t="n"/>
      <c r="J39" s="4" t="n"/>
    </row>
  </sheetData>
  <autoFilter ref="A4:J39"/>
  <mergeCells count="2">
    <mergeCell ref="A1:J1"/>
    <mergeCell ref="A2:J2"/>
  </mergeCells>
  <conditionalFormatting sqref="D5:D39">
    <cfRule type="cellIs" priority="1" operator="equal" dxfId="0">
      <formula>"Backlog"</formula>
    </cfRule>
    <cfRule type="cellIs" priority="2" operator="equal" dxfId="1">
      <formula>"Listo para Ventana"</formula>
    </cfRule>
    <cfRule type="cellIs" priority="3" operator="equal" dxfId="2">
      <formula>"Integración"</formula>
    </cfRule>
    <cfRule type="cellIs" priority="4" operator="equal" dxfId="3">
      <formula>"Optimización"</formula>
    </cfRule>
    <cfRule type="cellIs" priority="5" operator="equal" dxfId="4">
      <formula>"Listo para Aceptación"</formula>
    </cfRule>
    <cfRule type="cellIs" priority="6" operator="equal" dxfId="5">
      <formula>"Aceptación Telemóvil"</formula>
    </cfRule>
    <cfRule type="cellIs" priority="7" operator="equal" dxfId="6">
      <formula>"Done"</formula>
    </cfRule>
    <cfRule type="cellIs" priority="8" operator="equal" dxfId="7">
      <formula>"Bloqueado"</formula>
    </cfRule>
  </conditionalFormatting>
  <dataValidations count="4">
    <dataValidation sqref="D5:D39" showDropDown="0" showInputMessage="0" showErrorMessage="0" allowBlank="1" type="list">
      <formula1>"Backlog,Listo para Ventana,Integración,Optimización,Listo para Aceptación,Aceptación Telemóvil,Done,Bloqueado"</formula1>
    </dataValidation>
    <dataValidation sqref="I5:I39" showDropDown="0" showInputMessage="0" showErrorMessage="0" allowBlank="1" type="list">
      <formula1>"TRUE,FALSE,Pendiente,N/A"</formula1>
    </dataValidation>
    <dataValidation sqref="B5:B39" showDropDown="0" showInputMessage="0" showErrorMessage="0" allowBlank="1" type="list">
      <formula1>"Sitio,Actividad"</formula1>
    </dataValidation>
    <dataValidation sqref="F5:F39" showDropDown="0" showInputMessage="0" showErrorMessage="0" allowBlank="1" type="list">
      <formula1>"W1,W2,W3,W4,W5,W6,W7,W8,W9,W10,W11,W12"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6" customWidth="1" min="4" max="4"/>
    <col width="34" customWidth="1" min="5" max="5"/>
  </cols>
  <sheetData>
    <row r="1">
      <c r="A1" s="1" t="inlineStr">
        <is>
          <t>Dashboard del Tablero — conteo automático por columna</t>
        </is>
      </c>
    </row>
    <row r="2">
      <c r="A2" s="2" t="inlineStr">
        <is>
          <t>Se actualiza solo conforme cambias el ESTADO en el Registro de Trabajo. Rojo = WIP excedido.</t>
        </is>
      </c>
    </row>
    <row r="4">
      <c r="A4" s="5" t="inlineStr">
        <is>
          <t>Columna Kanban</t>
        </is>
      </c>
      <c r="B4" s="5" t="inlineStr">
        <is>
          <t>Límite WIP</t>
        </is>
      </c>
      <c r="C4" s="5" t="inlineStr">
        <is>
          <t># tarjetas</t>
        </is>
      </c>
      <c r="D4" s="5" t="inlineStr">
        <is>
          <t>¿WIP excedido?</t>
        </is>
      </c>
      <c r="E4" s="5" t="inlineStr">
        <is>
          <t>Regla</t>
        </is>
      </c>
    </row>
    <row r="5">
      <c r="A5" s="8" t="inlineStr">
        <is>
          <t>Backlog</t>
        </is>
      </c>
      <c r="B5" s="7" t="inlineStr">
        <is>
          <t>—</t>
        </is>
      </c>
      <c r="C5" s="6">
        <f>COUNTIF('Registro de Trabajo'!$D$5:$D$39,A5)</f>
        <v/>
      </c>
      <c r="D5" s="7" t="inlineStr">
        <is>
          <t>—</t>
        </is>
      </c>
      <c r="E5" s="4" t="inlineStr">
        <is>
          <t>Sin límite</t>
        </is>
      </c>
    </row>
    <row r="6">
      <c r="A6" s="3" t="inlineStr">
        <is>
          <t>Listo para Ventana</t>
        </is>
      </c>
      <c r="B6" s="7" t="n">
        <v>5</v>
      </c>
      <c r="C6" s="6">
        <f>COUNTIF('Registro de Trabajo'!$D$5:$D$39,A6)</f>
        <v/>
      </c>
      <c r="D6" s="7">
        <f>IF(C6&gt;B6,"⚠️ SÍ","OK")</f>
        <v/>
      </c>
      <c r="E6" s="4" t="inlineStr">
        <is>
          <t>Handoff Carlos↔Eduardo</t>
        </is>
      </c>
    </row>
    <row r="7">
      <c r="A7" s="9" t="inlineStr">
        <is>
          <t>Integración</t>
        </is>
      </c>
      <c r="B7" s="7" t="n">
        <v>3</v>
      </c>
      <c r="C7" s="6">
        <f>COUNTIF('Registro de Trabajo'!$D$5:$D$39,A7)</f>
        <v/>
      </c>
      <c r="D7" s="7">
        <f>IF(C7&gt;B7,"⚠️ SÍ","OK")</f>
        <v/>
      </c>
      <c r="E7" s="4" t="inlineStr">
        <is>
          <t>SW remoto + HW cuadrilla</t>
        </is>
      </c>
    </row>
    <row r="8">
      <c r="A8" s="10" t="inlineStr">
        <is>
          <t>Optimización</t>
        </is>
      </c>
      <c r="B8" s="7" t="n">
        <v>3</v>
      </c>
      <c r="C8" s="6">
        <f>COUNTIF('Registro de Trabajo'!$D$5:$D$39,A8)</f>
        <v/>
      </c>
      <c r="D8" s="7">
        <f>IF(C8&gt;B8,"⚠️ SÍ","OK")</f>
        <v/>
      </c>
      <c r="E8" s="4" t="inlineStr">
        <is>
          <t>Validación KPIs 24-72h</t>
        </is>
      </c>
    </row>
    <row r="9">
      <c r="A9" s="11" t="inlineStr">
        <is>
          <t>Listo para Aceptación</t>
        </is>
      </c>
      <c r="B9" s="7" t="n">
        <v>5</v>
      </c>
      <c r="C9" s="6">
        <f>COUNTIF('Registro de Trabajo'!$D$5:$D$39,A9)</f>
        <v/>
      </c>
      <c r="D9" s="7">
        <f>IF(C9&gt;B9,"⚠️ SÍ","OK")</f>
        <v/>
      </c>
      <c r="E9" s="4" t="inlineStr">
        <is>
          <t>SAD listo</t>
        </is>
      </c>
    </row>
    <row r="10">
      <c r="A10" s="12" t="inlineStr">
        <is>
          <t>Aceptación Telemóvil</t>
        </is>
      </c>
      <c r="B10" s="7" t="n">
        <v>5</v>
      </c>
      <c r="C10" s="6">
        <f>COUNTIF('Registro de Trabajo'!$D$5:$D$39,A10)</f>
        <v/>
      </c>
      <c r="D10" s="7">
        <f>IF(C10&gt;B10,"⚠️ SÍ","OK")</f>
        <v/>
      </c>
      <c r="E10" s="4" t="inlineStr">
        <is>
          <t>Sign-off Ricardo Mendoza</t>
        </is>
      </c>
    </row>
    <row r="11">
      <c r="A11" s="13" t="inlineStr">
        <is>
          <t>Done</t>
        </is>
      </c>
      <c r="B11" s="7" t="inlineStr">
        <is>
          <t>—</t>
        </is>
      </c>
      <c r="C11" s="6">
        <f>COUNTIF('Registro de Trabajo'!$D$5:$D$39,A11)</f>
        <v/>
      </c>
      <c r="D11" s="7" t="inlineStr">
        <is>
          <t>—</t>
        </is>
      </c>
      <c r="E11" s="4" t="inlineStr">
        <is>
          <t>Sitio aceptado</t>
        </is>
      </c>
    </row>
    <row r="12">
      <c r="A12" s="14" t="inlineStr">
        <is>
          <t>Bloqueado</t>
        </is>
      </c>
      <c r="B12" s="7" t="inlineStr">
        <is>
          <t>—</t>
        </is>
      </c>
      <c r="C12" s="6">
        <f>COUNTIF('Registro de Trabajo'!$D$5:$D$39,A12)</f>
        <v/>
      </c>
      <c r="D12" s="7" t="inlineStr">
        <is>
          <t>—</t>
        </is>
      </c>
      <c r="E12" s="4" t="inlineStr">
        <is>
          <t>Se discute en el daily</t>
        </is>
      </c>
    </row>
    <row r="13">
      <c r="A13" s="15" t="inlineStr">
        <is>
          <t>TOTAL tarjetas</t>
        </is>
      </c>
      <c r="C13" s="16">
        <f>COUNTA('Registro de Trabajo'!$A$5:$A$39)</f>
        <v/>
      </c>
    </row>
  </sheetData>
  <mergeCells count="2">
    <mergeCell ref="A2:E2"/>
    <mergeCell ref="A1:E1"/>
  </mergeCells>
  <conditionalFormatting sqref="D5:D12">
    <cfRule type="cellIs" priority="1" operator="equal" dxfId="8">
      <formula>"⚠️ SÍ"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Tablero Visual — vista de columnas (filtra el Registro por Estado para poblar)</t>
        </is>
      </c>
    </row>
    <row r="2">
      <c r="A2" s="2" t="inlineStr">
        <is>
          <t>Sugerencia: usa el AutoFilter de la hoja 'Registro de Trabajo' (columna Estado) para ver qué tarjetas hay en cada columna.</t>
        </is>
      </c>
    </row>
    <row r="4" ht="34" customHeight="1">
      <c r="A4" s="17" t="inlineStr">
        <is>
          <t>Backlog
(WIP —)</t>
        </is>
      </c>
      <c r="B4" s="18" t="inlineStr">
        <is>
          <t>Listo para Ventana
(WIP 5)</t>
        </is>
      </c>
      <c r="C4" s="19" t="inlineStr">
        <is>
          <t>Integración
(WIP 3)</t>
        </is>
      </c>
      <c r="D4" s="20" t="inlineStr">
        <is>
          <t>Optimización
(WIP 3)</t>
        </is>
      </c>
      <c r="E4" s="21" t="inlineStr">
        <is>
          <t>Listo para Aceptación
(WIP 5)</t>
        </is>
      </c>
      <c r="F4" s="22" t="inlineStr">
        <is>
          <t>Aceptación Telemóvil
(WIP 5)</t>
        </is>
      </c>
      <c r="G4" s="23" t="inlineStr">
        <is>
          <t>Done
(WIP —)</t>
        </is>
      </c>
    </row>
    <row r="5">
      <c r="A5" s="4" t="n"/>
      <c r="B5" s="4" t="n"/>
      <c r="C5" s="4" t="n"/>
      <c r="D5" s="4" t="n"/>
      <c r="E5" s="4" t="n"/>
      <c r="F5" s="4" t="n"/>
      <c r="G5" s="4" t="n"/>
    </row>
    <row r="6">
      <c r="A6" s="4" t="n"/>
      <c r="B6" s="4" t="n"/>
      <c r="C6" s="4" t="n"/>
      <c r="D6" s="4" t="n"/>
      <c r="E6" s="4" t="n"/>
      <c r="F6" s="4" t="n"/>
      <c r="G6" s="4" t="n"/>
    </row>
    <row r="7">
      <c r="A7" s="4" t="n"/>
      <c r="B7" s="4" t="n"/>
      <c r="C7" s="4" t="n"/>
      <c r="D7" s="4" t="n"/>
      <c r="E7" s="4" t="n"/>
      <c r="F7" s="4" t="n"/>
      <c r="G7" s="4" t="n"/>
    </row>
    <row r="8">
      <c r="A8" s="4" t="n"/>
      <c r="B8" s="4" t="n"/>
      <c r="C8" s="4" t="n"/>
      <c r="D8" s="4" t="n"/>
      <c r="E8" s="4" t="n"/>
      <c r="F8" s="4" t="n"/>
      <c r="G8" s="4" t="n"/>
    </row>
    <row r="9">
      <c r="A9" s="4" t="n"/>
      <c r="B9" s="4" t="n"/>
      <c r="C9" s="4" t="n"/>
      <c r="D9" s="4" t="n"/>
      <c r="E9" s="4" t="n"/>
      <c r="F9" s="4" t="n"/>
      <c r="G9" s="4" t="n"/>
    </row>
    <row r="10">
      <c r="A10" s="4" t="n"/>
      <c r="B10" s="4" t="n"/>
      <c r="C10" s="4" t="n"/>
      <c r="D10" s="4" t="n"/>
      <c r="E10" s="4" t="n"/>
      <c r="F10" s="4" t="n"/>
      <c r="G10" s="4" t="n"/>
    </row>
    <row r="11">
      <c r="A11" s="4" t="n"/>
      <c r="B11" s="4" t="n"/>
      <c r="C11" s="4" t="n"/>
      <c r="D11" s="4" t="n"/>
      <c r="E11" s="4" t="n"/>
      <c r="F11" s="4" t="n"/>
      <c r="G11" s="4" t="n"/>
    </row>
    <row r="12">
      <c r="A12" s="4" t="n"/>
      <c r="B12" s="4" t="n"/>
      <c r="C12" s="4" t="n"/>
      <c r="D12" s="4" t="n"/>
      <c r="E12" s="4" t="n"/>
      <c r="F12" s="4" t="n"/>
      <c r="G12" s="4" t="n"/>
    </row>
    <row r="13">
      <c r="A13" s="4" t="n"/>
      <c r="B13" s="4" t="n"/>
      <c r="C13" s="4" t="n"/>
      <c r="D13" s="4" t="n"/>
      <c r="E13" s="4" t="n"/>
      <c r="F13" s="4" t="n"/>
      <c r="G13" s="4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>
      <c r="A15" s="4" t="n"/>
      <c r="B15" s="4" t="n"/>
      <c r="C15" s="4" t="n"/>
      <c r="D15" s="4" t="n"/>
      <c r="E15" s="4" t="n"/>
      <c r="F15" s="4" t="n"/>
      <c r="G15" s="4" t="n"/>
    </row>
    <row r="16">
      <c r="A16" s="4" t="n"/>
      <c r="B16" s="4" t="n"/>
      <c r="C16" s="4" t="n"/>
      <c r="D16" s="4" t="n"/>
      <c r="E16" s="4" t="n"/>
      <c r="F16" s="4" t="n"/>
      <c r="G16" s="4" t="n"/>
    </row>
    <row r="17">
      <c r="A17" s="4" t="n"/>
      <c r="B17" s="4" t="n"/>
      <c r="C17" s="4" t="n"/>
      <c r="D17" s="4" t="n"/>
      <c r="E17" s="4" t="n"/>
      <c r="F17" s="4" t="n"/>
      <c r="G17" s="4" t="n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2026-06-15T17:06:29Z</dcterms:created>
  <dcterms:modified xmlns:dcterms="http://purl.org/dc/terms/" xmlns:xsi="http://www.w3.org/2001/XMLSchema-instance" xsi:type="dcterms:W3CDTF">2026-06-15T17:07:01Z</dcterms:modified>
</cp:coreProperties>
</file>