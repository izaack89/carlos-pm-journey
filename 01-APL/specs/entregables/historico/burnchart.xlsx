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mirez/Documents/Personal-Projects/agile/final_project/agil_expansion_lte/specs/"/>
    </mc:Choice>
  </mc:AlternateContent>
  <xr:revisionPtr revIDLastSave="0" documentId="8_{FA4D8B00-7610-BE40-B3D6-1E5DFB82D25A}" xr6:coauthVersionLast="47" xr6:coauthVersionMax="47" xr10:uidLastSave="{00000000-0000-0000-0000-000000000000}"/>
  <bookViews>
    <workbookView xWindow="0" yWindow="600" windowWidth="49940" windowHeight="28200" xr2:uid="{80485AEB-0D3F-1946-9CCC-B5CDA601C6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" i="1" l="1"/>
  <c r="R2" i="1" s="1"/>
  <c r="S2" i="1" s="1"/>
  <c r="T2" i="1"/>
  <c r="Q3" i="1"/>
  <c r="R3" i="1"/>
  <c r="S3" i="1" s="1"/>
  <c r="T3" i="1"/>
  <c r="Q4" i="1"/>
  <c r="R4" i="1"/>
  <c r="S4" i="1" s="1"/>
  <c r="T4" i="1"/>
  <c r="Q5" i="1"/>
  <c r="R5" i="1"/>
  <c r="S5" i="1"/>
  <c r="T5" i="1"/>
  <c r="Q6" i="1"/>
  <c r="R6" i="1"/>
  <c r="S6" i="1"/>
  <c r="T6" i="1"/>
  <c r="Q7" i="1"/>
  <c r="Q8" i="1" s="1"/>
  <c r="R7" i="1"/>
  <c r="S7" i="1" s="1"/>
  <c r="T7" i="1"/>
  <c r="W1" i="1"/>
  <c r="T8" i="1" l="1"/>
  <c r="Q9" i="1"/>
  <c r="R8" i="1"/>
  <c r="S8" i="1" s="1"/>
  <c r="R9" i="1" l="1"/>
  <c r="S9" i="1" s="1"/>
  <c r="T9" i="1"/>
  <c r="Q10" i="1"/>
  <c r="R10" i="1" l="1"/>
  <c r="S10" i="1" s="1"/>
  <c r="T10" i="1"/>
  <c r="Q11" i="1"/>
  <c r="T11" i="1" l="1"/>
  <c r="Q12" i="1"/>
  <c r="R11" i="1"/>
  <c r="S11" i="1" s="1"/>
  <c r="R12" i="1" l="1"/>
  <c r="S12" i="1" s="1"/>
  <c r="Q13" i="1"/>
  <c r="T12" i="1"/>
  <c r="Q14" i="1" l="1"/>
  <c r="R13" i="1"/>
  <c r="S13" i="1" s="1"/>
  <c r="T13" i="1"/>
  <c r="Q15" i="1" l="1"/>
  <c r="R14" i="1"/>
  <c r="S14" i="1" s="1"/>
  <c r="T14" i="1"/>
  <c r="T15" i="1" l="1"/>
  <c r="Q16" i="1"/>
  <c r="R15" i="1"/>
  <c r="S15" i="1" s="1"/>
  <c r="R16" i="1" l="1"/>
  <c r="S16" i="1" s="1"/>
  <c r="T16" i="1"/>
  <c r="Q17" i="1"/>
  <c r="Q18" i="1" l="1"/>
  <c r="T17" i="1"/>
  <c r="R17" i="1"/>
  <c r="S17" i="1" s="1"/>
  <c r="R18" i="1" l="1"/>
  <c r="S18" i="1" s="1"/>
  <c r="T18" i="1"/>
  <c r="Q19" i="1"/>
  <c r="Q20" i="1" l="1"/>
  <c r="T19" i="1"/>
  <c r="R19" i="1"/>
  <c r="S19" i="1" s="1"/>
  <c r="T20" i="1" l="1"/>
  <c r="Q21" i="1"/>
  <c r="R20" i="1"/>
  <c r="S20" i="1" s="1"/>
  <c r="R21" i="1" l="1"/>
  <c r="S21" i="1" s="1"/>
  <c r="T21" i="1"/>
  <c r="Q22" i="1"/>
  <c r="R22" i="1" l="1"/>
  <c r="S22" i="1" s="1"/>
  <c r="T22" i="1"/>
  <c r="Q23" i="1"/>
  <c r="Q24" i="1" l="1"/>
  <c r="T23" i="1"/>
  <c r="R23" i="1"/>
  <c r="S23" i="1" s="1"/>
  <c r="R24" i="1" l="1"/>
  <c r="S24" i="1" s="1"/>
  <c r="Q25" i="1"/>
  <c r="T24" i="1"/>
  <c r="Q26" i="1" l="1"/>
  <c r="T25" i="1"/>
  <c r="R25" i="1"/>
  <c r="S25" i="1" s="1"/>
  <c r="Q27" i="1" l="1"/>
  <c r="R26" i="1"/>
  <c r="S26" i="1" s="1"/>
  <c r="T26" i="1"/>
  <c r="T27" i="1" l="1"/>
  <c r="R27" i="1"/>
  <c r="S27" i="1" s="1"/>
  <c r="Q28" i="1"/>
  <c r="R28" i="1" l="1"/>
  <c r="S28" i="1" s="1"/>
  <c r="T28" i="1"/>
  <c r="Q29" i="1"/>
  <c r="T29" i="1" l="1"/>
  <c r="Q30" i="1"/>
  <c r="R29" i="1"/>
  <c r="S29" i="1" s="1"/>
  <c r="R30" i="1" l="1"/>
  <c r="S30" i="1" s="1"/>
  <c r="T30" i="1"/>
  <c r="Q31" i="1"/>
  <c r="Q32" i="1" l="1"/>
  <c r="R31" i="1"/>
  <c r="S31" i="1" s="1"/>
  <c r="T31" i="1"/>
  <c r="Q33" i="1" l="1"/>
  <c r="R32" i="1"/>
  <c r="S32" i="1" s="1"/>
  <c r="T32" i="1"/>
  <c r="R33" i="1" l="1"/>
  <c r="S33" i="1" s="1"/>
  <c r="T33" i="1"/>
  <c r="Q34" i="1"/>
  <c r="R34" i="1" l="1"/>
  <c r="S34" i="1" s="1"/>
  <c r="T34" i="1"/>
  <c r="Q35" i="1"/>
  <c r="Q36" i="1" l="1"/>
  <c r="R35" i="1"/>
  <c r="S35" i="1" s="1"/>
  <c r="T35" i="1"/>
  <c r="R36" i="1" l="1"/>
  <c r="S36" i="1" s="1"/>
  <c r="T36" i="1"/>
  <c r="Q37" i="1"/>
  <c r="Q38" i="1" l="1"/>
  <c r="T37" i="1"/>
  <c r="R37" i="1"/>
  <c r="S37" i="1" s="1"/>
  <c r="Q39" i="1" l="1"/>
  <c r="R38" i="1"/>
  <c r="S38" i="1" s="1"/>
  <c r="T38" i="1"/>
  <c r="T39" i="1" l="1"/>
  <c r="R39" i="1"/>
  <c r="S39" i="1" s="1"/>
  <c r="Q40" i="1"/>
  <c r="R40" i="1" l="1"/>
  <c r="S40" i="1" s="1"/>
  <c r="T40" i="1"/>
  <c r="Q41" i="1"/>
  <c r="T41" i="1" l="1"/>
  <c r="Q42" i="1"/>
  <c r="R41" i="1"/>
  <c r="S41" i="1" s="1"/>
  <c r="R42" i="1" l="1"/>
  <c r="S42" i="1" s="1"/>
  <c r="T42" i="1"/>
  <c r="Q43" i="1"/>
  <c r="Q44" i="1" l="1"/>
  <c r="T43" i="1"/>
  <c r="R43" i="1"/>
  <c r="S43" i="1" s="1"/>
  <c r="T44" i="1" l="1"/>
  <c r="Q45" i="1"/>
  <c r="R44" i="1"/>
  <c r="S44" i="1" s="1"/>
  <c r="R45" i="1" l="1"/>
  <c r="S45" i="1" s="1"/>
  <c r="T45" i="1"/>
  <c r="Q46" i="1"/>
  <c r="R46" i="1" l="1"/>
  <c r="S46" i="1" s="1"/>
  <c r="T46" i="1"/>
  <c r="Q47" i="1"/>
  <c r="T47" i="1" l="1"/>
  <c r="R47" i="1"/>
  <c r="S47" i="1" s="1"/>
  <c r="Q48" i="1"/>
  <c r="Q49" i="1" l="1"/>
  <c r="R48" i="1"/>
  <c r="S48" i="1" s="1"/>
  <c r="T48" i="1"/>
  <c r="Q50" i="1" l="1"/>
  <c r="R49" i="1"/>
  <c r="S49" i="1" s="1"/>
  <c r="T49" i="1"/>
  <c r="Q51" i="1" l="1"/>
  <c r="R50" i="1"/>
  <c r="S50" i="1" s="1"/>
  <c r="T50" i="1"/>
  <c r="R51" i="1" l="1"/>
  <c r="S51" i="1" s="1"/>
  <c r="T51" i="1"/>
  <c r="Q52" i="1"/>
  <c r="R52" i="1" l="1"/>
  <c r="S52" i="1" s="1"/>
  <c r="T52" i="1"/>
  <c r="Q53" i="1"/>
  <c r="Q54" i="1" l="1"/>
  <c r="R53" i="1"/>
  <c r="S53" i="1" s="1"/>
  <c r="T53" i="1"/>
  <c r="Q55" i="1" l="1"/>
  <c r="T54" i="1"/>
  <c r="R54" i="1"/>
  <c r="S54" i="1" s="1"/>
  <c r="Q56" i="1" l="1"/>
  <c r="T55" i="1"/>
  <c r="R55" i="1"/>
  <c r="S55" i="1" s="1"/>
  <c r="Q57" i="1" l="1"/>
  <c r="R56" i="1"/>
  <c r="S56" i="1" s="1"/>
  <c r="T56" i="1"/>
  <c r="R57" i="1" l="1"/>
  <c r="S57" i="1" s="1"/>
  <c r="T57" i="1"/>
  <c r="Q58" i="1"/>
  <c r="R58" i="1" l="1"/>
  <c r="S58" i="1" s="1"/>
  <c r="T58" i="1"/>
  <c r="Q59" i="1"/>
  <c r="R59" i="1" l="1"/>
  <c r="S59" i="1" s="1"/>
  <c r="T59" i="1"/>
  <c r="Q60" i="1"/>
  <c r="T60" i="1" l="1"/>
  <c r="Q61" i="1"/>
  <c r="R60" i="1"/>
  <c r="S60" i="1" s="1"/>
  <c r="Q62" i="1" l="1"/>
  <c r="R61" i="1"/>
  <c r="S61" i="1" s="1"/>
  <c r="T61" i="1"/>
  <c r="T62" i="1" l="1"/>
  <c r="Q63" i="1"/>
  <c r="R62" i="1"/>
  <c r="S62" i="1" s="1"/>
  <c r="T63" i="1" l="1"/>
  <c r="R63" i="1"/>
  <c r="S63" i="1" s="1"/>
</calcChain>
</file>

<file path=xl/sharedStrings.xml><?xml version="1.0" encoding="utf-8"?>
<sst xmlns="http://schemas.openxmlformats.org/spreadsheetml/2006/main" count="206" uniqueCount="104">
  <si>
    <t>sitio_id</t>
  </si>
  <si>
    <t>zona</t>
  </si>
  <si>
    <t>tipo</t>
  </si>
  <si>
    <t>epica</t>
  </si>
  <si>
    <t>integrador</t>
  </si>
  <si>
    <t>optimizador</t>
  </si>
  <si>
    <t>cuadrilla</t>
  </si>
  <si>
    <t>fecha_listo_ventana_planeada</t>
  </si>
  <si>
    <t>fecha_integracion_planeada</t>
  </si>
  <si>
    <t>fecha_optimizacion_planeada</t>
  </si>
  <si>
    <t>fecha_aceptacion_planeada</t>
  </si>
  <si>
    <t>fecha_done_planeada</t>
  </si>
  <si>
    <t>ftr_esperado</t>
  </si>
  <si>
    <t>bloqueos_anticipados</t>
  </si>
  <si>
    <t>notas</t>
  </si>
  <si>
    <t>PA-001</t>
  </si>
  <si>
    <t>Vía España</t>
  </si>
  <si>
    <t>Corredor</t>
  </si>
  <si>
    <t>E1</t>
  </si>
  <si>
    <t>Diego</t>
  </si>
  <si>
    <t>Marco</t>
  </si>
  <si>
    <t>Luis</t>
  </si>
  <si>
    <t>Primer sitio del Golden Cluster</t>
  </si>
  <si>
    <t>PA-003</t>
  </si>
  <si>
    <t>El Cangrejo</t>
  </si>
  <si>
    <t>Urbano</t>
  </si>
  <si>
    <t>Ana</t>
  </si>
  <si>
    <t>Sofía</t>
  </si>
  <si>
    <t>Sitio urbano denso</t>
  </si>
  <si>
    <t>PA-005</t>
  </si>
  <si>
    <t>San Francisco</t>
  </si>
  <si>
    <t>Segundo urbano del cluster</t>
  </si>
  <si>
    <t>PA-014</t>
  </si>
  <si>
    <t>San Miguelito</t>
  </si>
  <si>
    <t>Suburbano</t>
  </si>
  <si>
    <t>Ricardo</t>
  </si>
  <si>
    <t>Bloqueo simulado RF — caso documentado</t>
  </si>
  <si>
    <t>PA-019</t>
  </si>
  <si>
    <t>Juan Díaz</t>
  </si>
  <si>
    <t>Hugo</t>
  </si>
  <si>
    <t>Patricia</t>
  </si>
  <si>
    <t>Suburbano de validación del cluster</t>
  </si>
  <si>
    <t>PA-002</t>
  </si>
  <si>
    <t>Costa del Este</t>
  </si>
  <si>
    <t>E2</t>
  </si>
  <si>
    <t>Prueba de 3CA tras retrospectiva</t>
  </si>
  <si>
    <t>PA-004</t>
  </si>
  <si>
    <t>Bella Vista</t>
  </si>
  <si>
    <t>Subió en prioridad por saturación 91%</t>
  </si>
  <si>
    <t>PA-006</t>
  </si>
  <si>
    <t>Obarrio</t>
  </si>
  <si>
    <t>Urbano denso</t>
  </si>
  <si>
    <t>PA-008</t>
  </si>
  <si>
    <t>Vía Brasil</t>
  </si>
  <si>
    <t>Sandeep</t>
  </si>
  <si>
    <t>Piloto de automatización Sandeep</t>
  </si>
  <si>
    <t>PA-009</t>
  </si>
  <si>
    <t>Calidonia</t>
  </si>
  <si>
    <t>Javier</t>
  </si>
  <si>
    <t>Reasignado a Cuadrilla 2 por balanceo</t>
  </si>
  <si>
    <t>PA-007</t>
  </si>
  <si>
    <t>Punta Pacífica</t>
  </si>
  <si>
    <t>Diferido sem 5 por tower company</t>
  </si>
  <si>
    <t>PA-011</t>
  </si>
  <si>
    <t>Curundú</t>
  </si>
  <si>
    <t>PA-013</t>
  </si>
  <si>
    <t>Parque Lefevre</t>
  </si>
  <si>
    <t>Sandeep continúa con automatización</t>
  </si>
  <si>
    <t>PA-012</t>
  </si>
  <si>
    <t>Río Abajo</t>
  </si>
  <si>
    <t>Mediana complejidad</t>
  </si>
  <si>
    <t>PA-010</t>
  </si>
  <si>
    <t>Santa Ana</t>
  </si>
  <si>
    <t>Restricciones de acceso anticipadas</t>
  </si>
  <si>
    <t>PA-015</t>
  </si>
  <si>
    <t>Tocumen</t>
  </si>
  <si>
    <t>E3</t>
  </si>
  <si>
    <t>Suburbano oriente</t>
  </si>
  <si>
    <t>PA-018</t>
  </si>
  <si>
    <t>Don Bosco</t>
  </si>
  <si>
    <t>PA-021</t>
  </si>
  <si>
    <t>Arraiján</t>
  </si>
  <si>
    <t>Panamá Oeste</t>
  </si>
  <si>
    <t>Distancia mayor</t>
  </si>
  <si>
    <t>PA-022</t>
  </si>
  <si>
    <t>La Chorrera</t>
  </si>
  <si>
    <t>PA-016</t>
  </si>
  <si>
    <t>Las Cumbres</t>
  </si>
  <si>
    <t>PA-017</t>
  </si>
  <si>
    <t>Pedregal</t>
  </si>
  <si>
    <t>E4</t>
  </si>
  <si>
    <t>Cierre</t>
  </si>
  <si>
    <t>PA-020</t>
  </si>
  <si>
    <t>Las Acacias</t>
  </si>
  <si>
    <t>PA-023</t>
  </si>
  <si>
    <t>Vista Alegre</t>
  </si>
  <si>
    <t>Readiness pendiente al inicio</t>
  </si>
  <si>
    <t>Fecha</t>
  </si>
  <si>
    <t>Completados (Burn-up)</t>
  </si>
  <si>
    <t>Pendientes (Burn-down)</t>
  </si>
  <si>
    <t>Línea ideal</t>
  </si>
  <si>
    <t>Total sitios</t>
  </si>
  <si>
    <t>Fecha inicio</t>
  </si>
  <si>
    <t>Fecha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</si>
</sst>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m/d/yyyy"/>
    <numFmt numFmtId="169" formatCode="0.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0"/>
      <color rgb="FFFFFFFF"/>
      <name val="Helvetica Neue"/>
      <family val="2"/>
    </font>
    <font>
      <b/>
      <sz val="12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0" xfId="0" applyFont="1"/>
    <xf numFmtId="14" fontId="2" fillId="0" borderId="0" xfId="0" applyNumberFormat="1" applyFon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0" borderId="0" xfId="0" applyFont="1"/>
    <xf numFmtId="0" fontId="1" fillId="3" borderId="0" xfId="0" applyFont="1" applyFill="1"/>
    <xf numFmtId="168" fontId="0" fillId="3" borderId="0" xfId="0" applyNumberFormat="1" applyFill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Chart — Plan de Integración de Sitios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Completados (Burn-up)</c:v>
                </c:pt>
              </c:strCache>
            </c:strRef>
          </c:tx>
          <c:spPr>
            <a:ln w="28575" cap="rnd">
              <a:solidFill>
                <a:srgbClr val="2E7D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Sheet1!$Q$2:$Q$63</c:f>
              <c:numCache>
                <c:formatCode>m/d/yyyy</c:formatCode>
                <c:ptCount val="62"/>
                <c:pt idx="0">
                  <c:v>46180</c:v>
                </c:pt>
                <c:pt idx="1">
                  <c:v>46181</c:v>
                </c:pt>
                <c:pt idx="2">
                  <c:v>46182</c:v>
                </c:pt>
                <c:pt idx="3">
                  <c:v>46183</c:v>
                </c:pt>
                <c:pt idx="4">
                  <c:v>46184</c:v>
                </c:pt>
                <c:pt idx="5">
                  <c:v>46185</c:v>
                </c:pt>
                <c:pt idx="6">
                  <c:v>46186</c:v>
                </c:pt>
                <c:pt idx="7">
                  <c:v>46187</c:v>
                </c:pt>
                <c:pt idx="8">
                  <c:v>46188</c:v>
                </c:pt>
                <c:pt idx="9">
                  <c:v>46189</c:v>
                </c:pt>
                <c:pt idx="10">
                  <c:v>46190</c:v>
                </c:pt>
                <c:pt idx="11">
                  <c:v>46191</c:v>
                </c:pt>
                <c:pt idx="12">
                  <c:v>46192</c:v>
                </c:pt>
                <c:pt idx="13">
                  <c:v>46193</c:v>
                </c:pt>
                <c:pt idx="14">
                  <c:v>46194</c:v>
                </c:pt>
                <c:pt idx="15">
                  <c:v>46195</c:v>
                </c:pt>
                <c:pt idx="16">
                  <c:v>46196</c:v>
                </c:pt>
                <c:pt idx="17">
                  <c:v>46197</c:v>
                </c:pt>
                <c:pt idx="18">
                  <c:v>46198</c:v>
                </c:pt>
                <c:pt idx="19">
                  <c:v>46199</c:v>
                </c:pt>
                <c:pt idx="20">
                  <c:v>46200</c:v>
                </c:pt>
                <c:pt idx="21">
                  <c:v>46201</c:v>
                </c:pt>
                <c:pt idx="22">
                  <c:v>46202</c:v>
                </c:pt>
                <c:pt idx="23">
                  <c:v>46203</c:v>
                </c:pt>
                <c:pt idx="24">
                  <c:v>46204</c:v>
                </c:pt>
                <c:pt idx="25">
                  <c:v>46205</c:v>
                </c:pt>
                <c:pt idx="26">
                  <c:v>46206</c:v>
                </c:pt>
                <c:pt idx="27">
                  <c:v>46207</c:v>
                </c:pt>
                <c:pt idx="28">
                  <c:v>46208</c:v>
                </c:pt>
                <c:pt idx="29">
                  <c:v>46209</c:v>
                </c:pt>
                <c:pt idx="30">
                  <c:v>46210</c:v>
                </c:pt>
                <c:pt idx="31">
                  <c:v>46211</c:v>
                </c:pt>
                <c:pt idx="32">
                  <c:v>46212</c:v>
                </c:pt>
                <c:pt idx="33">
                  <c:v>46213</c:v>
                </c:pt>
                <c:pt idx="34">
                  <c:v>46214</c:v>
                </c:pt>
                <c:pt idx="35">
                  <c:v>46215</c:v>
                </c:pt>
                <c:pt idx="36">
                  <c:v>46216</c:v>
                </c:pt>
                <c:pt idx="37">
                  <c:v>46217</c:v>
                </c:pt>
                <c:pt idx="38">
                  <c:v>46218</c:v>
                </c:pt>
                <c:pt idx="39">
                  <c:v>46219</c:v>
                </c:pt>
                <c:pt idx="40">
                  <c:v>46220</c:v>
                </c:pt>
                <c:pt idx="41">
                  <c:v>46221</c:v>
                </c:pt>
                <c:pt idx="42">
                  <c:v>46222</c:v>
                </c:pt>
                <c:pt idx="43">
                  <c:v>46223</c:v>
                </c:pt>
                <c:pt idx="44">
                  <c:v>46224</c:v>
                </c:pt>
                <c:pt idx="45">
                  <c:v>46225</c:v>
                </c:pt>
                <c:pt idx="46">
                  <c:v>46226</c:v>
                </c:pt>
                <c:pt idx="47">
                  <c:v>46227</c:v>
                </c:pt>
                <c:pt idx="48">
                  <c:v>46228</c:v>
                </c:pt>
                <c:pt idx="49">
                  <c:v>46229</c:v>
                </c:pt>
                <c:pt idx="50">
                  <c:v>46230</c:v>
                </c:pt>
                <c:pt idx="51">
                  <c:v>46231</c:v>
                </c:pt>
                <c:pt idx="52">
                  <c:v>46232</c:v>
                </c:pt>
                <c:pt idx="53">
                  <c:v>46233</c:v>
                </c:pt>
                <c:pt idx="54">
                  <c:v>46234</c:v>
                </c:pt>
                <c:pt idx="55">
                  <c:v>46235</c:v>
                </c:pt>
                <c:pt idx="56">
                  <c:v>46236</c:v>
                </c:pt>
                <c:pt idx="57">
                  <c:v>46237</c:v>
                </c:pt>
                <c:pt idx="58">
                  <c:v>46238</c:v>
                </c:pt>
                <c:pt idx="59">
                  <c:v>46239</c:v>
                </c:pt>
                <c:pt idx="60">
                  <c:v>46240</c:v>
                </c:pt>
                <c:pt idx="61">
                  <c:v>46241</c:v>
                </c:pt>
              </c:numCache>
            </c:numRef>
          </c:cat>
          <c:val>
            <c:numRef>
              <c:f>Sheet1!$R$2:$R$63</c:f>
              <c:numCache>
                <c:formatCode>0.0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</c:v>
                </c:pt>
                <c:pt idx="52">
                  <c:v>19</c:v>
                </c:pt>
                <c:pt idx="53">
                  <c:v>19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22</c:v>
                </c:pt>
                <c:pt idx="59">
                  <c:v>22</c:v>
                </c:pt>
                <c:pt idx="60">
                  <c:v>22</c:v>
                </c:pt>
                <c:pt idx="6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8-D645-94FA-29016214B03C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Pendientes (Burn-down)</c:v>
                </c:pt>
              </c:strCache>
            </c:strRef>
          </c:tx>
          <c:spPr>
            <a:ln w="28575" cap="rnd">
              <a:solidFill>
                <a:srgbClr val="C62828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Sheet1!$Q$2:$Q$63</c:f>
              <c:numCache>
                <c:formatCode>m/d/yyyy</c:formatCode>
                <c:ptCount val="62"/>
                <c:pt idx="0">
                  <c:v>46180</c:v>
                </c:pt>
                <c:pt idx="1">
                  <c:v>46181</c:v>
                </c:pt>
                <c:pt idx="2">
                  <c:v>46182</c:v>
                </c:pt>
                <c:pt idx="3">
                  <c:v>46183</c:v>
                </c:pt>
                <c:pt idx="4">
                  <c:v>46184</c:v>
                </c:pt>
                <c:pt idx="5">
                  <c:v>46185</c:v>
                </c:pt>
                <c:pt idx="6">
                  <c:v>46186</c:v>
                </c:pt>
                <c:pt idx="7">
                  <c:v>46187</c:v>
                </c:pt>
                <c:pt idx="8">
                  <c:v>46188</c:v>
                </c:pt>
                <c:pt idx="9">
                  <c:v>46189</c:v>
                </c:pt>
                <c:pt idx="10">
                  <c:v>46190</c:v>
                </c:pt>
                <c:pt idx="11">
                  <c:v>46191</c:v>
                </c:pt>
                <c:pt idx="12">
                  <c:v>46192</c:v>
                </c:pt>
                <c:pt idx="13">
                  <c:v>46193</c:v>
                </c:pt>
                <c:pt idx="14">
                  <c:v>46194</c:v>
                </c:pt>
                <c:pt idx="15">
                  <c:v>46195</c:v>
                </c:pt>
                <c:pt idx="16">
                  <c:v>46196</c:v>
                </c:pt>
                <c:pt idx="17">
                  <c:v>46197</c:v>
                </c:pt>
                <c:pt idx="18">
                  <c:v>46198</c:v>
                </c:pt>
                <c:pt idx="19">
                  <c:v>46199</c:v>
                </c:pt>
                <c:pt idx="20">
                  <c:v>46200</c:v>
                </c:pt>
                <c:pt idx="21">
                  <c:v>46201</c:v>
                </c:pt>
                <c:pt idx="22">
                  <c:v>46202</c:v>
                </c:pt>
                <c:pt idx="23">
                  <c:v>46203</c:v>
                </c:pt>
                <c:pt idx="24">
                  <c:v>46204</c:v>
                </c:pt>
                <c:pt idx="25">
                  <c:v>46205</c:v>
                </c:pt>
                <c:pt idx="26">
                  <c:v>46206</c:v>
                </c:pt>
                <c:pt idx="27">
                  <c:v>46207</c:v>
                </c:pt>
                <c:pt idx="28">
                  <c:v>46208</c:v>
                </c:pt>
                <c:pt idx="29">
                  <c:v>46209</c:v>
                </c:pt>
                <c:pt idx="30">
                  <c:v>46210</c:v>
                </c:pt>
                <c:pt idx="31">
                  <c:v>46211</c:v>
                </c:pt>
                <c:pt idx="32">
                  <c:v>46212</c:v>
                </c:pt>
                <c:pt idx="33">
                  <c:v>46213</c:v>
                </c:pt>
                <c:pt idx="34">
                  <c:v>46214</c:v>
                </c:pt>
                <c:pt idx="35">
                  <c:v>46215</c:v>
                </c:pt>
                <c:pt idx="36">
                  <c:v>46216</c:v>
                </c:pt>
                <c:pt idx="37">
                  <c:v>46217</c:v>
                </c:pt>
                <c:pt idx="38">
                  <c:v>46218</c:v>
                </c:pt>
                <c:pt idx="39">
                  <c:v>46219</c:v>
                </c:pt>
                <c:pt idx="40">
                  <c:v>46220</c:v>
                </c:pt>
                <c:pt idx="41">
                  <c:v>46221</c:v>
                </c:pt>
                <c:pt idx="42">
                  <c:v>46222</c:v>
                </c:pt>
                <c:pt idx="43">
                  <c:v>46223</c:v>
                </c:pt>
                <c:pt idx="44">
                  <c:v>46224</c:v>
                </c:pt>
                <c:pt idx="45">
                  <c:v>46225</c:v>
                </c:pt>
                <c:pt idx="46">
                  <c:v>46226</c:v>
                </c:pt>
                <c:pt idx="47">
                  <c:v>46227</c:v>
                </c:pt>
                <c:pt idx="48">
                  <c:v>46228</c:v>
                </c:pt>
                <c:pt idx="49">
                  <c:v>46229</c:v>
                </c:pt>
                <c:pt idx="50">
                  <c:v>46230</c:v>
                </c:pt>
                <c:pt idx="51">
                  <c:v>46231</c:v>
                </c:pt>
                <c:pt idx="52">
                  <c:v>46232</c:v>
                </c:pt>
                <c:pt idx="53">
                  <c:v>46233</c:v>
                </c:pt>
                <c:pt idx="54">
                  <c:v>46234</c:v>
                </c:pt>
                <c:pt idx="55">
                  <c:v>46235</c:v>
                </c:pt>
                <c:pt idx="56">
                  <c:v>46236</c:v>
                </c:pt>
                <c:pt idx="57">
                  <c:v>46237</c:v>
                </c:pt>
                <c:pt idx="58">
                  <c:v>46238</c:v>
                </c:pt>
                <c:pt idx="59">
                  <c:v>46239</c:v>
                </c:pt>
                <c:pt idx="60">
                  <c:v>46240</c:v>
                </c:pt>
                <c:pt idx="61">
                  <c:v>46241</c:v>
                </c:pt>
              </c:numCache>
            </c:numRef>
          </c:cat>
          <c:val>
            <c:numRef>
              <c:f>Sheet1!$S$2:$S$63</c:f>
              <c:numCache>
                <c:formatCode>0.0</c:formatCode>
                <c:ptCount val="62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18</c:v>
                </c:pt>
                <c:pt idx="19">
                  <c:v>18</c:v>
                </c:pt>
                <c:pt idx="20">
                  <c:v>18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18-D645-94FA-29016214B03C}"/>
            </c:ext>
          </c:extLst>
        </c:ser>
        <c:ser>
          <c:idx val="2"/>
          <c:order val="2"/>
          <c:tx>
            <c:strRef>
              <c:f>Sheet1!$T$1</c:f>
              <c:strCache>
                <c:ptCount val="1"/>
                <c:pt idx="0">
                  <c:v>Línea ideal</c:v>
                </c:pt>
              </c:strCache>
            </c:strRef>
          </c:tx>
          <c:spPr>
            <a:ln w="28575" cap="rnd">
              <a:solidFill>
                <a:srgbClr val="9E9E9E"/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Sheet1!$Q$2:$Q$63</c:f>
              <c:numCache>
                <c:formatCode>m/d/yyyy</c:formatCode>
                <c:ptCount val="62"/>
                <c:pt idx="0">
                  <c:v>46180</c:v>
                </c:pt>
                <c:pt idx="1">
                  <c:v>46181</c:v>
                </c:pt>
                <c:pt idx="2">
                  <c:v>46182</c:v>
                </c:pt>
                <c:pt idx="3">
                  <c:v>46183</c:v>
                </c:pt>
                <c:pt idx="4">
                  <c:v>46184</c:v>
                </c:pt>
                <c:pt idx="5">
                  <c:v>46185</c:v>
                </c:pt>
                <c:pt idx="6">
                  <c:v>46186</c:v>
                </c:pt>
                <c:pt idx="7">
                  <c:v>46187</c:v>
                </c:pt>
                <c:pt idx="8">
                  <c:v>46188</c:v>
                </c:pt>
                <c:pt idx="9">
                  <c:v>46189</c:v>
                </c:pt>
                <c:pt idx="10">
                  <c:v>46190</c:v>
                </c:pt>
                <c:pt idx="11">
                  <c:v>46191</c:v>
                </c:pt>
                <c:pt idx="12">
                  <c:v>46192</c:v>
                </c:pt>
                <c:pt idx="13">
                  <c:v>46193</c:v>
                </c:pt>
                <c:pt idx="14">
                  <c:v>46194</c:v>
                </c:pt>
                <c:pt idx="15">
                  <c:v>46195</c:v>
                </c:pt>
                <c:pt idx="16">
                  <c:v>46196</c:v>
                </c:pt>
                <c:pt idx="17">
                  <c:v>46197</c:v>
                </c:pt>
                <c:pt idx="18">
                  <c:v>46198</c:v>
                </c:pt>
                <c:pt idx="19">
                  <c:v>46199</c:v>
                </c:pt>
                <c:pt idx="20">
                  <c:v>46200</c:v>
                </c:pt>
                <c:pt idx="21">
                  <c:v>46201</c:v>
                </c:pt>
                <c:pt idx="22">
                  <c:v>46202</c:v>
                </c:pt>
                <c:pt idx="23">
                  <c:v>46203</c:v>
                </c:pt>
                <c:pt idx="24">
                  <c:v>46204</c:v>
                </c:pt>
                <c:pt idx="25">
                  <c:v>46205</c:v>
                </c:pt>
                <c:pt idx="26">
                  <c:v>46206</c:v>
                </c:pt>
                <c:pt idx="27">
                  <c:v>46207</c:v>
                </c:pt>
                <c:pt idx="28">
                  <c:v>46208</c:v>
                </c:pt>
                <c:pt idx="29">
                  <c:v>46209</c:v>
                </c:pt>
                <c:pt idx="30">
                  <c:v>46210</c:v>
                </c:pt>
                <c:pt idx="31">
                  <c:v>46211</c:v>
                </c:pt>
                <c:pt idx="32">
                  <c:v>46212</c:v>
                </c:pt>
                <c:pt idx="33">
                  <c:v>46213</c:v>
                </c:pt>
                <c:pt idx="34">
                  <c:v>46214</c:v>
                </c:pt>
                <c:pt idx="35">
                  <c:v>46215</c:v>
                </c:pt>
                <c:pt idx="36">
                  <c:v>46216</c:v>
                </c:pt>
                <c:pt idx="37">
                  <c:v>46217</c:v>
                </c:pt>
                <c:pt idx="38">
                  <c:v>46218</c:v>
                </c:pt>
                <c:pt idx="39">
                  <c:v>46219</c:v>
                </c:pt>
                <c:pt idx="40">
                  <c:v>46220</c:v>
                </c:pt>
                <c:pt idx="41">
                  <c:v>46221</c:v>
                </c:pt>
                <c:pt idx="42">
                  <c:v>46222</c:v>
                </c:pt>
                <c:pt idx="43">
                  <c:v>46223</c:v>
                </c:pt>
                <c:pt idx="44">
                  <c:v>46224</c:v>
                </c:pt>
                <c:pt idx="45">
                  <c:v>46225</c:v>
                </c:pt>
                <c:pt idx="46">
                  <c:v>46226</c:v>
                </c:pt>
                <c:pt idx="47">
                  <c:v>46227</c:v>
                </c:pt>
                <c:pt idx="48">
                  <c:v>46228</c:v>
                </c:pt>
                <c:pt idx="49">
                  <c:v>46229</c:v>
                </c:pt>
                <c:pt idx="50">
                  <c:v>46230</c:v>
                </c:pt>
                <c:pt idx="51">
                  <c:v>46231</c:v>
                </c:pt>
                <c:pt idx="52">
                  <c:v>46232</c:v>
                </c:pt>
                <c:pt idx="53">
                  <c:v>46233</c:v>
                </c:pt>
                <c:pt idx="54">
                  <c:v>46234</c:v>
                </c:pt>
                <c:pt idx="55">
                  <c:v>46235</c:v>
                </c:pt>
                <c:pt idx="56">
                  <c:v>46236</c:v>
                </c:pt>
                <c:pt idx="57">
                  <c:v>46237</c:v>
                </c:pt>
                <c:pt idx="58">
                  <c:v>46238</c:v>
                </c:pt>
                <c:pt idx="59">
                  <c:v>46239</c:v>
                </c:pt>
                <c:pt idx="60">
                  <c:v>46240</c:v>
                </c:pt>
                <c:pt idx="61">
                  <c:v>46241</c:v>
                </c:pt>
              </c:numCache>
            </c:numRef>
          </c:cat>
          <c:val>
            <c:numRef>
              <c:f>Sheet1!$T$2:$T$63</c:f>
              <c:numCache>
                <c:formatCode>0.0</c:formatCode>
                <c:ptCount val="62"/>
                <c:pt idx="0">
                  <c:v>23</c:v>
                </c:pt>
                <c:pt idx="1">
                  <c:v>22.622950819672131</c:v>
                </c:pt>
                <c:pt idx="2">
                  <c:v>22.245901639344261</c:v>
                </c:pt>
                <c:pt idx="3">
                  <c:v>21.868852459016392</c:v>
                </c:pt>
                <c:pt idx="4">
                  <c:v>21.491803278688526</c:v>
                </c:pt>
                <c:pt idx="5">
                  <c:v>21.114754098360656</c:v>
                </c:pt>
                <c:pt idx="6">
                  <c:v>20.737704918032787</c:v>
                </c:pt>
                <c:pt idx="7">
                  <c:v>20.360655737704917</c:v>
                </c:pt>
                <c:pt idx="8">
                  <c:v>19.983606557377048</c:v>
                </c:pt>
                <c:pt idx="9">
                  <c:v>19.606557377049182</c:v>
                </c:pt>
                <c:pt idx="10">
                  <c:v>19.229508196721312</c:v>
                </c:pt>
                <c:pt idx="11">
                  <c:v>18.852459016393443</c:v>
                </c:pt>
                <c:pt idx="12">
                  <c:v>18.475409836065573</c:v>
                </c:pt>
                <c:pt idx="13">
                  <c:v>18.098360655737704</c:v>
                </c:pt>
                <c:pt idx="14">
                  <c:v>17.721311475409834</c:v>
                </c:pt>
                <c:pt idx="15">
                  <c:v>17.344262295081965</c:v>
                </c:pt>
                <c:pt idx="16">
                  <c:v>16.967213114754095</c:v>
                </c:pt>
                <c:pt idx="17">
                  <c:v>16.590163934426229</c:v>
                </c:pt>
                <c:pt idx="18">
                  <c:v>16.21311475409836</c:v>
                </c:pt>
                <c:pt idx="19">
                  <c:v>15.836065573770492</c:v>
                </c:pt>
                <c:pt idx="20">
                  <c:v>15.459016393442624</c:v>
                </c:pt>
                <c:pt idx="21">
                  <c:v>15.081967213114755</c:v>
                </c:pt>
                <c:pt idx="22">
                  <c:v>14.704918032786885</c:v>
                </c:pt>
                <c:pt idx="23">
                  <c:v>14.327868852459018</c:v>
                </c:pt>
                <c:pt idx="24">
                  <c:v>13.950819672131148</c:v>
                </c:pt>
                <c:pt idx="25">
                  <c:v>13.573770491803279</c:v>
                </c:pt>
                <c:pt idx="26">
                  <c:v>13.196721311475409</c:v>
                </c:pt>
                <c:pt idx="27">
                  <c:v>12.81967213114754</c:v>
                </c:pt>
                <c:pt idx="28">
                  <c:v>12.44262295081967</c:v>
                </c:pt>
                <c:pt idx="29">
                  <c:v>12.065573770491804</c:v>
                </c:pt>
                <c:pt idx="30">
                  <c:v>11.688524590163935</c:v>
                </c:pt>
                <c:pt idx="31">
                  <c:v>11.311475409836065</c:v>
                </c:pt>
                <c:pt idx="32">
                  <c:v>10.934426229508196</c:v>
                </c:pt>
                <c:pt idx="33">
                  <c:v>10.557377049180326</c:v>
                </c:pt>
                <c:pt idx="34">
                  <c:v>10.18032786885246</c:v>
                </c:pt>
                <c:pt idx="35">
                  <c:v>9.8032786885245908</c:v>
                </c:pt>
                <c:pt idx="36">
                  <c:v>9.4262295081967213</c:v>
                </c:pt>
                <c:pt idx="37">
                  <c:v>9.0491803278688518</c:v>
                </c:pt>
                <c:pt idx="38">
                  <c:v>8.6721311475409824</c:v>
                </c:pt>
                <c:pt idx="39">
                  <c:v>8.2950819672131146</c:v>
                </c:pt>
                <c:pt idx="40">
                  <c:v>7.9180327868852469</c:v>
                </c:pt>
                <c:pt idx="41">
                  <c:v>7.5409836065573774</c:v>
                </c:pt>
                <c:pt idx="42">
                  <c:v>7.1639344262295088</c:v>
                </c:pt>
                <c:pt idx="43">
                  <c:v>6.7868852459016393</c:v>
                </c:pt>
                <c:pt idx="44">
                  <c:v>6.4098360655737698</c:v>
                </c:pt>
                <c:pt idx="45">
                  <c:v>6.0327868852459003</c:v>
                </c:pt>
                <c:pt idx="46">
                  <c:v>5.6557377049180335</c:v>
                </c:pt>
                <c:pt idx="47">
                  <c:v>5.2786885245901649</c:v>
                </c:pt>
                <c:pt idx="48">
                  <c:v>4.9016393442622954</c:v>
                </c:pt>
                <c:pt idx="49">
                  <c:v>4.5245901639344259</c:v>
                </c:pt>
                <c:pt idx="50">
                  <c:v>4.1475409836065573</c:v>
                </c:pt>
                <c:pt idx="51">
                  <c:v>3.7704918032786878</c:v>
                </c:pt>
                <c:pt idx="52">
                  <c:v>3.393442622950821</c:v>
                </c:pt>
                <c:pt idx="53">
                  <c:v>3.0163934426229515</c:v>
                </c:pt>
                <c:pt idx="54">
                  <c:v>2.6393442622950825</c:v>
                </c:pt>
                <c:pt idx="55">
                  <c:v>2.262295081967213</c:v>
                </c:pt>
                <c:pt idx="56">
                  <c:v>1.8852459016393439</c:v>
                </c:pt>
                <c:pt idx="57">
                  <c:v>1.5081967213114744</c:v>
                </c:pt>
                <c:pt idx="58">
                  <c:v>1.1311475409836078</c:v>
                </c:pt>
                <c:pt idx="59">
                  <c:v>0.75409836065573854</c:v>
                </c:pt>
                <c:pt idx="60">
                  <c:v>0.37704918032786927</c:v>
                </c:pt>
                <c:pt idx="6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18-D645-94FA-29016214B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4536127"/>
        <c:axId val="1584533439"/>
      </c:lineChart>
      <c:dateAx>
        <c:axId val="1584536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584533439"/>
        <c:crosses val="autoZero"/>
        <c:auto val="1"/>
        <c:lblOffset val="100"/>
        <c:baseTimeUnit val="days"/>
      </c:dateAx>
      <c:valAx>
        <c:axId val="158453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Sitios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58453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15</xdr:col>
      <xdr:colOff>0</xdr:colOff>
      <xdr:row>50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270D21-2F01-81BB-D511-40B83214F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6239DE-D394-B749-8DCB-16657FC727E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5b2dcac-11c0-403d-92ba-fcebafad7b2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A768-01CA-FA44-A165-71134D200E59}">
  <dimension ref="A1:W63"/>
  <sheetViews>
    <sheetView tabSelected="1" workbookViewId="0">
      <selection sqref="A1:O24"/>
    </sheetView>
  </sheetViews>
  <sheetFormatPr baseColWidth="10" defaultRowHeight="16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4" t="s">
        <v>97</v>
      </c>
      <c r="R1" s="4" t="s">
        <v>98</v>
      </c>
      <c r="S1" s="5" t="s">
        <v>99</v>
      </c>
      <c r="T1" s="5" t="s">
        <v>100</v>
      </c>
      <c r="V1" s="6" t="s">
        <v>101</v>
      </c>
      <c r="W1" s="7">
        <f>COUNTA(A2:A24)</f>
        <v>23</v>
      </c>
    </row>
    <row r="2" spans="1:23" x14ac:dyDescent="0.2">
      <c r="A2" s="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3">
        <v>46181</v>
      </c>
      <c r="I2" s="3">
        <v>46182</v>
      </c>
      <c r="J2" s="3">
        <v>46183</v>
      </c>
      <c r="K2" s="3">
        <v>46185</v>
      </c>
      <c r="L2" s="3">
        <v>46185</v>
      </c>
      <c r="M2" s="2" t="b">
        <v>1</v>
      </c>
      <c r="N2" s="2">
        <v>0</v>
      </c>
      <c r="O2" s="2" t="s">
        <v>22</v>
      </c>
      <c r="Q2" s="9">
        <f>$W$2</f>
        <v>46180</v>
      </c>
      <c r="R2" s="10">
        <f>COUNTIFS($L$2:$L$24,"&lt;="&amp;Q2)</f>
        <v>0</v>
      </c>
      <c r="S2" s="10">
        <f>$W$1-R2</f>
        <v>23</v>
      </c>
      <c r="T2" s="10">
        <f>$W$1*(1-(Q2-$W$2)/($W$3-$W$2))</f>
        <v>23</v>
      </c>
      <c r="V2" s="6" t="s">
        <v>102</v>
      </c>
      <c r="W2" s="8">
        <v>46180</v>
      </c>
    </row>
    <row r="3" spans="1:23" x14ac:dyDescent="0.2">
      <c r="A3" s="1" t="s">
        <v>23</v>
      </c>
      <c r="B3" s="2" t="s">
        <v>24</v>
      </c>
      <c r="C3" s="2" t="s">
        <v>25</v>
      </c>
      <c r="D3" s="2" t="s">
        <v>18</v>
      </c>
      <c r="E3" s="2" t="s">
        <v>26</v>
      </c>
      <c r="F3" s="2" t="s">
        <v>27</v>
      </c>
      <c r="G3" s="2" t="s">
        <v>21</v>
      </c>
      <c r="H3" s="3">
        <v>46183</v>
      </c>
      <c r="I3" s="3">
        <v>46184</v>
      </c>
      <c r="J3" s="3">
        <v>46185</v>
      </c>
      <c r="K3" s="3">
        <v>46185</v>
      </c>
      <c r="L3" s="3">
        <v>46185</v>
      </c>
      <c r="M3" s="2" t="b">
        <v>1</v>
      </c>
      <c r="N3" s="2">
        <v>0</v>
      </c>
      <c r="O3" s="2" t="s">
        <v>28</v>
      </c>
      <c r="Q3" s="9">
        <f>Q2+1</f>
        <v>46181</v>
      </c>
      <c r="R3" s="10">
        <f>COUNTIFS($L$2:$L$24,"&lt;="&amp;Q3)</f>
        <v>0</v>
      </c>
      <c r="S3" s="10">
        <f>$W$1-R3</f>
        <v>23</v>
      </c>
      <c r="T3" s="10">
        <f>$W$1*(1-(Q3-$W$2)/($W$3-$W$2))</f>
        <v>22.622950819672131</v>
      </c>
      <c r="V3" s="6" t="s">
        <v>103</v>
      </c>
      <c r="W3" s="8">
        <v>46241</v>
      </c>
    </row>
    <row r="4" spans="1:23" x14ac:dyDescent="0.2">
      <c r="A4" s="1" t="s">
        <v>29</v>
      </c>
      <c r="B4" s="2" t="s">
        <v>30</v>
      </c>
      <c r="C4" s="2" t="s">
        <v>25</v>
      </c>
      <c r="D4" s="2" t="s">
        <v>18</v>
      </c>
      <c r="E4" s="2" t="s">
        <v>19</v>
      </c>
      <c r="F4" s="2" t="s">
        <v>27</v>
      </c>
      <c r="G4" s="2" t="s">
        <v>21</v>
      </c>
      <c r="H4" s="3">
        <v>46188</v>
      </c>
      <c r="I4" s="3">
        <v>46189</v>
      </c>
      <c r="J4" s="3">
        <v>46190</v>
      </c>
      <c r="K4" s="3">
        <v>46192</v>
      </c>
      <c r="L4" s="3">
        <v>46192</v>
      </c>
      <c r="M4" s="2" t="b">
        <v>1</v>
      </c>
      <c r="N4" s="2">
        <v>0</v>
      </c>
      <c r="O4" s="2" t="s">
        <v>31</v>
      </c>
      <c r="Q4" s="9">
        <f>Q3+1</f>
        <v>46182</v>
      </c>
      <c r="R4" s="10">
        <f>COUNTIFS($L$2:$L$24,"&lt;="&amp;Q4)</f>
        <v>0</v>
      </c>
      <c r="S4" s="10">
        <f>$W$1-R4</f>
        <v>23</v>
      </c>
      <c r="T4" s="10">
        <f>$W$1*(1-(Q4-$W$2)/($W$3-$W$2))</f>
        <v>22.245901639344261</v>
      </c>
    </row>
    <row r="5" spans="1:23" x14ac:dyDescent="0.2">
      <c r="A5" s="1" t="s">
        <v>32</v>
      </c>
      <c r="B5" s="2" t="s">
        <v>33</v>
      </c>
      <c r="C5" s="2" t="s">
        <v>34</v>
      </c>
      <c r="D5" s="2" t="s">
        <v>18</v>
      </c>
      <c r="E5" s="2" t="s">
        <v>26</v>
      </c>
      <c r="F5" s="2" t="s">
        <v>20</v>
      </c>
      <c r="G5" s="2" t="s">
        <v>35</v>
      </c>
      <c r="H5" s="3">
        <v>46189</v>
      </c>
      <c r="I5" s="3">
        <v>46190</v>
      </c>
      <c r="J5" s="3">
        <v>46191</v>
      </c>
      <c r="K5" s="3">
        <v>46192</v>
      </c>
      <c r="L5" s="3">
        <v>46192</v>
      </c>
      <c r="M5" s="2" t="b">
        <v>0</v>
      </c>
      <c r="N5" s="2">
        <v>1</v>
      </c>
      <c r="O5" s="2" t="s">
        <v>36</v>
      </c>
      <c r="Q5" s="9">
        <f>Q4+1</f>
        <v>46183</v>
      </c>
      <c r="R5" s="10">
        <f>COUNTIFS($L$2:$L$24,"&lt;="&amp;Q5)</f>
        <v>0</v>
      </c>
      <c r="S5" s="10">
        <f>$W$1-R5</f>
        <v>23</v>
      </c>
      <c r="T5" s="10">
        <f>$W$1*(1-(Q5-$W$2)/($W$3-$W$2))</f>
        <v>21.868852459016392</v>
      </c>
    </row>
    <row r="6" spans="1:23" x14ac:dyDescent="0.2">
      <c r="A6" s="1" t="s">
        <v>37</v>
      </c>
      <c r="B6" s="2" t="s">
        <v>38</v>
      </c>
      <c r="C6" s="2" t="s">
        <v>34</v>
      </c>
      <c r="D6" s="2" t="s">
        <v>18</v>
      </c>
      <c r="E6" s="2" t="s">
        <v>39</v>
      </c>
      <c r="F6" s="2" t="s">
        <v>40</v>
      </c>
      <c r="G6" s="2" t="s">
        <v>35</v>
      </c>
      <c r="H6" s="3">
        <v>46191</v>
      </c>
      <c r="I6" s="3">
        <v>46192</v>
      </c>
      <c r="J6" s="3">
        <v>46193</v>
      </c>
      <c r="K6" s="3">
        <v>46195</v>
      </c>
      <c r="L6" s="3">
        <v>46195</v>
      </c>
      <c r="M6" s="2" t="b">
        <v>1</v>
      </c>
      <c r="N6" s="2">
        <v>0</v>
      </c>
      <c r="O6" s="2" t="s">
        <v>41</v>
      </c>
      <c r="Q6" s="9">
        <f>Q5+1</f>
        <v>46184</v>
      </c>
      <c r="R6" s="10">
        <f>COUNTIFS($L$2:$L$24,"&lt;="&amp;Q6)</f>
        <v>0</v>
      </c>
      <c r="S6" s="10">
        <f>$W$1-R6</f>
        <v>23</v>
      </c>
      <c r="T6" s="10">
        <f>$W$1*(1-(Q6-$W$2)/($W$3-$W$2))</f>
        <v>21.491803278688526</v>
      </c>
    </row>
    <row r="7" spans="1:23" x14ac:dyDescent="0.2">
      <c r="A7" s="1" t="s">
        <v>42</v>
      </c>
      <c r="B7" s="2" t="s">
        <v>43</v>
      </c>
      <c r="C7" s="2" t="s">
        <v>17</v>
      </c>
      <c r="D7" s="2" t="s">
        <v>44</v>
      </c>
      <c r="E7" s="2" t="s">
        <v>20</v>
      </c>
      <c r="F7" s="2" t="s">
        <v>20</v>
      </c>
      <c r="G7" s="2" t="s">
        <v>21</v>
      </c>
      <c r="H7" s="3">
        <v>46202</v>
      </c>
      <c r="I7" s="3">
        <v>46203</v>
      </c>
      <c r="J7" s="3">
        <v>46204</v>
      </c>
      <c r="K7" s="3">
        <v>46206</v>
      </c>
      <c r="L7" s="3">
        <v>46206</v>
      </c>
      <c r="M7" s="2" t="b">
        <v>1</v>
      </c>
      <c r="N7" s="2">
        <v>0</v>
      </c>
      <c r="O7" s="2" t="s">
        <v>45</v>
      </c>
      <c r="Q7" s="9">
        <f>Q6+1</f>
        <v>46185</v>
      </c>
      <c r="R7" s="10">
        <f>COUNTIFS($L$2:$L$24,"&lt;="&amp;Q7)</f>
        <v>2</v>
      </c>
      <c r="S7" s="10">
        <f>$W$1-R7</f>
        <v>21</v>
      </c>
      <c r="T7" s="10">
        <f>$W$1*(1-(Q7-$W$2)/($W$3-$W$2))</f>
        <v>21.114754098360656</v>
      </c>
    </row>
    <row r="8" spans="1:23" x14ac:dyDescent="0.2">
      <c r="A8" s="1" t="s">
        <v>46</v>
      </c>
      <c r="B8" s="2" t="s">
        <v>47</v>
      </c>
      <c r="C8" s="2" t="s">
        <v>25</v>
      </c>
      <c r="D8" s="2" t="s">
        <v>44</v>
      </c>
      <c r="E8" s="2" t="s">
        <v>19</v>
      </c>
      <c r="F8" s="2" t="s">
        <v>27</v>
      </c>
      <c r="G8" s="2" t="s">
        <v>21</v>
      </c>
      <c r="H8" s="3">
        <v>46203</v>
      </c>
      <c r="I8" s="3">
        <v>46204</v>
      </c>
      <c r="J8" s="3">
        <v>46205</v>
      </c>
      <c r="K8" s="3">
        <v>46206</v>
      </c>
      <c r="L8" s="3">
        <v>46206</v>
      </c>
      <c r="M8" s="2" t="b">
        <v>1</v>
      </c>
      <c r="N8" s="2">
        <v>0</v>
      </c>
      <c r="O8" s="2" t="s">
        <v>48</v>
      </c>
      <c r="Q8" s="9">
        <f>Q7+1</f>
        <v>46186</v>
      </c>
      <c r="R8" s="10">
        <f>COUNTIFS($L$2:$L$24,"&lt;="&amp;Q8)</f>
        <v>2</v>
      </c>
      <c r="S8" s="10">
        <f>$W$1-R8</f>
        <v>21</v>
      </c>
      <c r="T8" s="10">
        <f>$W$1*(1-(Q8-$W$2)/($W$3-$W$2))</f>
        <v>20.737704918032787</v>
      </c>
    </row>
    <row r="9" spans="1:23" x14ac:dyDescent="0.2">
      <c r="A9" s="1" t="s">
        <v>49</v>
      </c>
      <c r="B9" s="2" t="s">
        <v>50</v>
      </c>
      <c r="C9" s="2" t="s">
        <v>25</v>
      </c>
      <c r="D9" s="2" t="s">
        <v>44</v>
      </c>
      <c r="E9" s="2" t="s">
        <v>26</v>
      </c>
      <c r="F9" s="2" t="s">
        <v>40</v>
      </c>
      <c r="G9" s="2" t="s">
        <v>21</v>
      </c>
      <c r="H9" s="3">
        <v>46204</v>
      </c>
      <c r="I9" s="3">
        <v>46205</v>
      </c>
      <c r="J9" s="3">
        <v>46206</v>
      </c>
      <c r="K9" s="3">
        <v>46206</v>
      </c>
      <c r="L9" s="3">
        <v>46206</v>
      </c>
      <c r="M9" s="2" t="b">
        <v>1</v>
      </c>
      <c r="N9" s="2">
        <v>0</v>
      </c>
      <c r="O9" s="2" t="s">
        <v>51</v>
      </c>
      <c r="Q9" s="9">
        <f>Q8+1</f>
        <v>46187</v>
      </c>
      <c r="R9" s="10">
        <f>COUNTIFS($L$2:$L$24,"&lt;="&amp;Q9)</f>
        <v>2</v>
      </c>
      <c r="S9" s="10">
        <f>$W$1-R9</f>
        <v>21</v>
      </c>
      <c r="T9" s="10">
        <f>$W$1*(1-(Q9-$W$2)/($W$3-$W$2))</f>
        <v>20.360655737704917</v>
      </c>
    </row>
    <row r="10" spans="1:23" x14ac:dyDescent="0.2">
      <c r="A10" s="1" t="s">
        <v>52</v>
      </c>
      <c r="B10" s="2" t="s">
        <v>53</v>
      </c>
      <c r="C10" s="2" t="s">
        <v>25</v>
      </c>
      <c r="D10" s="2" t="s">
        <v>44</v>
      </c>
      <c r="E10" s="2" t="s">
        <v>54</v>
      </c>
      <c r="F10" s="2" t="s">
        <v>20</v>
      </c>
      <c r="G10" s="2" t="s">
        <v>21</v>
      </c>
      <c r="H10" s="3">
        <v>46205</v>
      </c>
      <c r="I10" s="3">
        <v>46206</v>
      </c>
      <c r="J10" s="3">
        <v>46207</v>
      </c>
      <c r="K10" s="3">
        <v>46213</v>
      </c>
      <c r="L10" s="3">
        <v>46213</v>
      </c>
      <c r="M10" s="2" t="b">
        <v>1</v>
      </c>
      <c r="N10" s="2">
        <v>0</v>
      </c>
      <c r="O10" s="2" t="s">
        <v>55</v>
      </c>
      <c r="Q10" s="9">
        <f>Q9+1</f>
        <v>46188</v>
      </c>
      <c r="R10" s="10">
        <f>COUNTIFS($L$2:$L$24,"&lt;="&amp;Q10)</f>
        <v>2</v>
      </c>
      <c r="S10" s="10">
        <f>$W$1-R10</f>
        <v>21</v>
      </c>
      <c r="T10" s="10">
        <f>$W$1*(1-(Q10-$W$2)/($W$3-$W$2))</f>
        <v>19.983606557377048</v>
      </c>
    </row>
    <row r="11" spans="1:23" x14ac:dyDescent="0.2">
      <c r="A11" s="1" t="s">
        <v>56</v>
      </c>
      <c r="B11" s="2" t="s">
        <v>57</v>
      </c>
      <c r="C11" s="2" t="s">
        <v>25</v>
      </c>
      <c r="D11" s="2" t="s">
        <v>44</v>
      </c>
      <c r="E11" s="2" t="s">
        <v>39</v>
      </c>
      <c r="F11" s="2" t="s">
        <v>27</v>
      </c>
      <c r="G11" s="2" t="s">
        <v>58</v>
      </c>
      <c r="H11" s="3">
        <v>46206</v>
      </c>
      <c r="I11" s="3">
        <v>46207</v>
      </c>
      <c r="J11" s="3">
        <v>46208</v>
      </c>
      <c r="K11" s="3">
        <v>46213</v>
      </c>
      <c r="L11" s="3">
        <v>46213</v>
      </c>
      <c r="M11" s="2" t="b">
        <v>1</v>
      </c>
      <c r="N11" s="2">
        <v>0</v>
      </c>
      <c r="O11" s="2" t="s">
        <v>59</v>
      </c>
      <c r="Q11" s="9">
        <f>Q10+1</f>
        <v>46189</v>
      </c>
      <c r="R11" s="10">
        <f>COUNTIFS($L$2:$L$24,"&lt;="&amp;Q11)</f>
        <v>2</v>
      </c>
      <c r="S11" s="10">
        <f>$W$1-R11</f>
        <v>21</v>
      </c>
      <c r="T11" s="10">
        <f>$W$1*(1-(Q11-$W$2)/($W$3-$W$2))</f>
        <v>19.606557377049182</v>
      </c>
    </row>
    <row r="12" spans="1:23" x14ac:dyDescent="0.2">
      <c r="A12" s="1" t="s">
        <v>60</v>
      </c>
      <c r="B12" s="2" t="s">
        <v>61</v>
      </c>
      <c r="C12" s="2" t="s">
        <v>25</v>
      </c>
      <c r="D12" s="2" t="s">
        <v>44</v>
      </c>
      <c r="E12" s="2" t="s">
        <v>19</v>
      </c>
      <c r="F12" s="2" t="s">
        <v>20</v>
      </c>
      <c r="G12" s="2" t="s">
        <v>21</v>
      </c>
      <c r="H12" s="3">
        <v>46209</v>
      </c>
      <c r="I12" s="3">
        <v>46210</v>
      </c>
      <c r="J12" s="3">
        <v>46211</v>
      </c>
      <c r="K12" s="3">
        <v>46213</v>
      </c>
      <c r="L12" s="3">
        <v>46213</v>
      </c>
      <c r="M12" s="2" t="b">
        <v>1</v>
      </c>
      <c r="N12" s="2">
        <v>1</v>
      </c>
      <c r="O12" s="2" t="s">
        <v>62</v>
      </c>
      <c r="Q12" s="9">
        <f>Q11+1</f>
        <v>46190</v>
      </c>
      <c r="R12" s="10">
        <f>COUNTIFS($L$2:$L$24,"&lt;="&amp;Q12)</f>
        <v>2</v>
      </c>
      <c r="S12" s="10">
        <f>$W$1-R12</f>
        <v>21</v>
      </c>
      <c r="T12" s="10">
        <f>$W$1*(1-(Q12-$W$2)/($W$3-$W$2))</f>
        <v>19.229508196721312</v>
      </c>
    </row>
    <row r="13" spans="1:23" x14ac:dyDescent="0.2">
      <c r="A13" s="1" t="s">
        <v>63</v>
      </c>
      <c r="B13" s="2" t="s">
        <v>64</v>
      </c>
      <c r="C13" s="2" t="s">
        <v>25</v>
      </c>
      <c r="D13" s="2" t="s">
        <v>44</v>
      </c>
      <c r="E13" s="2" t="s">
        <v>26</v>
      </c>
      <c r="F13" s="2" t="s">
        <v>40</v>
      </c>
      <c r="G13" s="2" t="s">
        <v>21</v>
      </c>
      <c r="H13" s="3">
        <v>46210</v>
      </c>
      <c r="I13" s="3">
        <v>46211</v>
      </c>
      <c r="J13" s="3">
        <v>46212</v>
      </c>
      <c r="K13" s="3">
        <v>46213</v>
      </c>
      <c r="L13" s="3">
        <v>46213</v>
      </c>
      <c r="M13" s="2" t="b">
        <v>1</v>
      </c>
      <c r="N13" s="2">
        <v>0</v>
      </c>
      <c r="O13" s="2" t="s">
        <v>25</v>
      </c>
      <c r="Q13" s="9">
        <f>Q12+1</f>
        <v>46191</v>
      </c>
      <c r="R13" s="10">
        <f>COUNTIFS($L$2:$L$24,"&lt;="&amp;Q13)</f>
        <v>2</v>
      </c>
      <c r="S13" s="10">
        <f>$W$1-R13</f>
        <v>21</v>
      </c>
      <c r="T13" s="10">
        <f>$W$1*(1-(Q13-$W$2)/($W$3-$W$2))</f>
        <v>18.852459016393443</v>
      </c>
    </row>
    <row r="14" spans="1:23" x14ac:dyDescent="0.2">
      <c r="A14" s="1" t="s">
        <v>65</v>
      </c>
      <c r="B14" s="2" t="s">
        <v>66</v>
      </c>
      <c r="C14" s="2" t="s">
        <v>25</v>
      </c>
      <c r="D14" s="2" t="s">
        <v>44</v>
      </c>
      <c r="E14" s="2" t="s">
        <v>54</v>
      </c>
      <c r="F14" s="2" t="s">
        <v>27</v>
      </c>
      <c r="G14" s="2" t="s">
        <v>35</v>
      </c>
      <c r="H14" s="3">
        <v>46211</v>
      </c>
      <c r="I14" s="3">
        <v>46212</v>
      </c>
      <c r="J14" s="3">
        <v>46213</v>
      </c>
      <c r="K14" s="3">
        <v>46220</v>
      </c>
      <c r="L14" s="3">
        <v>46220</v>
      </c>
      <c r="M14" s="2" t="b">
        <v>1</v>
      </c>
      <c r="N14" s="2">
        <v>0</v>
      </c>
      <c r="O14" s="2" t="s">
        <v>67</v>
      </c>
      <c r="Q14" s="9">
        <f>Q13+1</f>
        <v>46192</v>
      </c>
      <c r="R14" s="10">
        <f>COUNTIFS($L$2:$L$24,"&lt;="&amp;Q14)</f>
        <v>4</v>
      </c>
      <c r="S14" s="10">
        <f>$W$1-R14</f>
        <v>19</v>
      </c>
      <c r="T14" s="10">
        <f>$W$1*(1-(Q14-$W$2)/($W$3-$W$2))</f>
        <v>18.475409836065573</v>
      </c>
    </row>
    <row r="15" spans="1:23" x14ac:dyDescent="0.2">
      <c r="A15" s="1" t="s">
        <v>68</v>
      </c>
      <c r="B15" s="2" t="s">
        <v>69</v>
      </c>
      <c r="C15" s="2" t="s">
        <v>25</v>
      </c>
      <c r="D15" s="2" t="s">
        <v>44</v>
      </c>
      <c r="E15" s="2" t="s">
        <v>39</v>
      </c>
      <c r="F15" s="2" t="s">
        <v>20</v>
      </c>
      <c r="G15" s="2" t="s">
        <v>35</v>
      </c>
      <c r="H15" s="3">
        <v>46216</v>
      </c>
      <c r="I15" s="3">
        <v>46217</v>
      </c>
      <c r="J15" s="3">
        <v>46218</v>
      </c>
      <c r="K15" s="3">
        <v>46220</v>
      </c>
      <c r="L15" s="3">
        <v>46220</v>
      </c>
      <c r="M15" s="2" t="b">
        <v>1</v>
      </c>
      <c r="N15" s="2">
        <v>0</v>
      </c>
      <c r="O15" s="2" t="s">
        <v>70</v>
      </c>
      <c r="Q15" s="9">
        <f>Q14+1</f>
        <v>46193</v>
      </c>
      <c r="R15" s="10">
        <f>COUNTIFS($L$2:$L$24,"&lt;="&amp;Q15)</f>
        <v>4</v>
      </c>
      <c r="S15" s="10">
        <f>$W$1-R15</f>
        <v>19</v>
      </c>
      <c r="T15" s="10">
        <f>$W$1*(1-(Q15-$W$2)/($W$3-$W$2))</f>
        <v>18.098360655737704</v>
      </c>
    </row>
    <row r="16" spans="1:23" x14ac:dyDescent="0.2">
      <c r="A16" s="1" t="s">
        <v>71</v>
      </c>
      <c r="B16" s="2" t="s">
        <v>72</v>
      </c>
      <c r="C16" s="2" t="s">
        <v>25</v>
      </c>
      <c r="D16" s="2" t="s">
        <v>44</v>
      </c>
      <c r="E16" s="2" t="s">
        <v>19</v>
      </c>
      <c r="F16" s="2" t="s">
        <v>40</v>
      </c>
      <c r="G16" s="2" t="s">
        <v>21</v>
      </c>
      <c r="H16" s="3">
        <v>46217</v>
      </c>
      <c r="I16" s="3">
        <v>46218</v>
      </c>
      <c r="J16" s="3">
        <v>46219</v>
      </c>
      <c r="K16" s="3">
        <v>46220</v>
      </c>
      <c r="L16" s="3">
        <v>46220</v>
      </c>
      <c r="M16" s="2" t="b">
        <v>0</v>
      </c>
      <c r="N16" s="2">
        <v>1</v>
      </c>
      <c r="O16" s="2" t="s">
        <v>73</v>
      </c>
      <c r="Q16" s="9">
        <f>Q15+1</f>
        <v>46194</v>
      </c>
      <c r="R16" s="10">
        <f>COUNTIFS($L$2:$L$24,"&lt;="&amp;Q16)</f>
        <v>4</v>
      </c>
      <c r="S16" s="10">
        <f>$W$1-R16</f>
        <v>19</v>
      </c>
      <c r="T16" s="10">
        <f>$W$1*(1-(Q16-$W$2)/($W$3-$W$2))</f>
        <v>17.721311475409834</v>
      </c>
    </row>
    <row r="17" spans="1:20" x14ac:dyDescent="0.2">
      <c r="A17" s="1" t="s">
        <v>74</v>
      </c>
      <c r="B17" s="2" t="s">
        <v>75</v>
      </c>
      <c r="C17" s="2" t="s">
        <v>34</v>
      </c>
      <c r="D17" s="2" t="s">
        <v>76</v>
      </c>
      <c r="E17" s="2" t="s">
        <v>26</v>
      </c>
      <c r="F17" s="2" t="s">
        <v>27</v>
      </c>
      <c r="G17" s="2" t="s">
        <v>35</v>
      </c>
      <c r="H17" s="3">
        <v>46218</v>
      </c>
      <c r="I17" s="3">
        <v>46219</v>
      </c>
      <c r="J17" s="3">
        <v>46220</v>
      </c>
      <c r="K17" s="3">
        <v>46220</v>
      </c>
      <c r="L17" s="3">
        <v>46220</v>
      </c>
      <c r="M17" s="2" t="b">
        <v>1</v>
      </c>
      <c r="N17" s="2">
        <v>0</v>
      </c>
      <c r="O17" s="2" t="s">
        <v>77</v>
      </c>
      <c r="Q17" s="9">
        <f>Q16+1</f>
        <v>46195</v>
      </c>
      <c r="R17" s="10">
        <f>COUNTIFS($L$2:$L$24,"&lt;="&amp;Q17)</f>
        <v>5</v>
      </c>
      <c r="S17" s="10">
        <f>$W$1-R17</f>
        <v>18</v>
      </c>
      <c r="T17" s="10">
        <f>$W$1*(1-(Q17-$W$2)/($W$3-$W$2))</f>
        <v>17.344262295081965</v>
      </c>
    </row>
    <row r="18" spans="1:20" x14ac:dyDescent="0.2">
      <c r="A18" s="1" t="s">
        <v>78</v>
      </c>
      <c r="B18" s="2" t="s">
        <v>79</v>
      </c>
      <c r="C18" s="2" t="s">
        <v>34</v>
      </c>
      <c r="D18" s="2" t="s">
        <v>76</v>
      </c>
      <c r="E18" s="2" t="s">
        <v>39</v>
      </c>
      <c r="F18" s="2" t="s">
        <v>20</v>
      </c>
      <c r="G18" s="2" t="s">
        <v>35</v>
      </c>
      <c r="H18" s="3">
        <v>46219</v>
      </c>
      <c r="I18" s="3">
        <v>46220</v>
      </c>
      <c r="J18" s="3">
        <v>46221</v>
      </c>
      <c r="K18" s="3">
        <v>46227</v>
      </c>
      <c r="L18" s="3">
        <v>46227</v>
      </c>
      <c r="M18" s="2" t="b">
        <v>1</v>
      </c>
      <c r="N18" s="2">
        <v>0</v>
      </c>
      <c r="O18" s="2" t="s">
        <v>77</v>
      </c>
      <c r="Q18" s="9">
        <f>Q17+1</f>
        <v>46196</v>
      </c>
      <c r="R18" s="10">
        <f>COUNTIFS($L$2:$L$24,"&lt;="&amp;Q18)</f>
        <v>5</v>
      </c>
      <c r="S18" s="10">
        <f>$W$1-R18</f>
        <v>18</v>
      </c>
      <c r="T18" s="10">
        <f>$W$1*(1-(Q18-$W$2)/($W$3-$W$2))</f>
        <v>16.967213114754095</v>
      </c>
    </row>
    <row r="19" spans="1:20" x14ac:dyDescent="0.2">
      <c r="A19" s="1" t="s">
        <v>80</v>
      </c>
      <c r="B19" s="2" t="s">
        <v>81</v>
      </c>
      <c r="C19" s="2" t="s">
        <v>82</v>
      </c>
      <c r="D19" s="2" t="s">
        <v>76</v>
      </c>
      <c r="E19" s="2" t="s">
        <v>54</v>
      </c>
      <c r="F19" s="2" t="s">
        <v>40</v>
      </c>
      <c r="G19" s="2" t="s">
        <v>58</v>
      </c>
      <c r="H19" s="3">
        <v>46223</v>
      </c>
      <c r="I19" s="3">
        <v>46224</v>
      </c>
      <c r="J19" s="3">
        <v>46226</v>
      </c>
      <c r="K19" s="3">
        <v>46227</v>
      </c>
      <c r="L19" s="3">
        <v>46227</v>
      </c>
      <c r="M19" s="2" t="b">
        <v>1</v>
      </c>
      <c r="N19" s="2">
        <v>0</v>
      </c>
      <c r="O19" s="2" t="s">
        <v>83</v>
      </c>
      <c r="Q19" s="9">
        <f>Q18+1</f>
        <v>46197</v>
      </c>
      <c r="R19" s="10">
        <f>COUNTIFS($L$2:$L$24,"&lt;="&amp;Q19)</f>
        <v>5</v>
      </c>
      <c r="S19" s="10">
        <f>$W$1-R19</f>
        <v>18</v>
      </c>
      <c r="T19" s="10">
        <f>$W$1*(1-(Q19-$W$2)/($W$3-$W$2))</f>
        <v>16.590163934426229</v>
      </c>
    </row>
    <row r="20" spans="1:20" x14ac:dyDescent="0.2">
      <c r="A20" s="1" t="s">
        <v>84</v>
      </c>
      <c r="B20" s="2" t="s">
        <v>85</v>
      </c>
      <c r="C20" s="2" t="s">
        <v>82</v>
      </c>
      <c r="D20" s="2" t="s">
        <v>76</v>
      </c>
      <c r="E20" s="2" t="s">
        <v>19</v>
      </c>
      <c r="F20" s="2" t="s">
        <v>27</v>
      </c>
      <c r="G20" s="2" t="s">
        <v>58</v>
      </c>
      <c r="H20" s="3">
        <v>46224</v>
      </c>
      <c r="I20" s="3">
        <v>46225</v>
      </c>
      <c r="J20" s="3">
        <v>46227</v>
      </c>
      <c r="K20" s="3">
        <v>46227</v>
      </c>
      <c r="L20" s="3">
        <v>46227</v>
      </c>
      <c r="M20" s="2" t="b">
        <v>1</v>
      </c>
      <c r="N20" s="2">
        <v>0</v>
      </c>
      <c r="O20" s="2" t="s">
        <v>83</v>
      </c>
      <c r="Q20" s="9">
        <f>Q19+1</f>
        <v>46198</v>
      </c>
      <c r="R20" s="10">
        <f>COUNTIFS($L$2:$L$24,"&lt;="&amp;Q20)</f>
        <v>5</v>
      </c>
      <c r="S20" s="10">
        <f>$W$1-R20</f>
        <v>18</v>
      </c>
      <c r="T20" s="10">
        <f>$W$1*(1-(Q20-$W$2)/($W$3-$W$2))</f>
        <v>16.21311475409836</v>
      </c>
    </row>
    <row r="21" spans="1:20" x14ac:dyDescent="0.2">
      <c r="A21" s="1" t="s">
        <v>86</v>
      </c>
      <c r="B21" s="2" t="s">
        <v>87</v>
      </c>
      <c r="C21" s="2" t="s">
        <v>34</v>
      </c>
      <c r="D21" s="2" t="s">
        <v>76</v>
      </c>
      <c r="E21" s="2" t="s">
        <v>26</v>
      </c>
      <c r="F21" s="2" t="s">
        <v>20</v>
      </c>
      <c r="G21" s="2" t="s">
        <v>35</v>
      </c>
      <c r="H21" s="3">
        <v>46225</v>
      </c>
      <c r="I21" s="3">
        <v>46226</v>
      </c>
      <c r="J21" s="3">
        <v>46228</v>
      </c>
      <c r="K21" s="3">
        <v>46234</v>
      </c>
      <c r="L21" s="3">
        <v>46234</v>
      </c>
      <c r="M21" s="2" t="b">
        <v>1</v>
      </c>
      <c r="N21" s="2">
        <v>0</v>
      </c>
      <c r="O21" s="2" t="s">
        <v>77</v>
      </c>
      <c r="Q21" s="9">
        <f>Q20+1</f>
        <v>46199</v>
      </c>
      <c r="R21" s="10">
        <f>COUNTIFS($L$2:$L$24,"&lt;="&amp;Q21)</f>
        <v>5</v>
      </c>
      <c r="S21" s="10">
        <f>$W$1-R21</f>
        <v>18</v>
      </c>
      <c r="T21" s="10">
        <f>$W$1*(1-(Q21-$W$2)/($W$3-$W$2))</f>
        <v>15.836065573770492</v>
      </c>
    </row>
    <row r="22" spans="1:20" x14ac:dyDescent="0.2">
      <c r="A22" s="1" t="s">
        <v>88</v>
      </c>
      <c r="B22" s="2" t="s">
        <v>89</v>
      </c>
      <c r="C22" s="2" t="s">
        <v>34</v>
      </c>
      <c r="D22" s="2" t="s">
        <v>90</v>
      </c>
      <c r="E22" s="2" t="s">
        <v>39</v>
      </c>
      <c r="F22" s="2" t="s">
        <v>40</v>
      </c>
      <c r="G22" s="2" t="s">
        <v>35</v>
      </c>
      <c r="H22" s="3">
        <v>46230</v>
      </c>
      <c r="I22" s="3">
        <v>46231</v>
      </c>
      <c r="J22" s="3">
        <v>46233</v>
      </c>
      <c r="K22" s="3">
        <v>46234</v>
      </c>
      <c r="L22" s="3">
        <v>46234</v>
      </c>
      <c r="M22" s="2" t="b">
        <v>1</v>
      </c>
      <c r="N22" s="2">
        <v>0</v>
      </c>
      <c r="O22" s="2" t="s">
        <v>91</v>
      </c>
      <c r="Q22" s="9">
        <f>Q21+1</f>
        <v>46200</v>
      </c>
      <c r="R22" s="10">
        <f>COUNTIFS($L$2:$L$24,"&lt;="&amp;Q22)</f>
        <v>5</v>
      </c>
      <c r="S22" s="10">
        <f>$W$1-R22</f>
        <v>18</v>
      </c>
      <c r="T22" s="10">
        <f>$W$1*(1-(Q22-$W$2)/($W$3-$W$2))</f>
        <v>15.459016393442624</v>
      </c>
    </row>
    <row r="23" spans="1:20" x14ac:dyDescent="0.2">
      <c r="A23" s="1" t="s">
        <v>92</v>
      </c>
      <c r="B23" s="2" t="s">
        <v>93</v>
      </c>
      <c r="C23" s="2" t="s">
        <v>34</v>
      </c>
      <c r="D23" s="2" t="s">
        <v>90</v>
      </c>
      <c r="E23" s="2" t="s">
        <v>19</v>
      </c>
      <c r="F23" s="2" t="s">
        <v>27</v>
      </c>
      <c r="G23" s="2" t="s">
        <v>58</v>
      </c>
      <c r="H23" s="3">
        <v>46231</v>
      </c>
      <c r="I23" s="3">
        <v>46232</v>
      </c>
      <c r="J23" s="3">
        <v>46233</v>
      </c>
      <c r="K23" s="3">
        <v>46234</v>
      </c>
      <c r="L23" s="3">
        <v>46234</v>
      </c>
      <c r="M23" s="2" t="b">
        <v>1</v>
      </c>
      <c r="N23" s="2">
        <v>0</v>
      </c>
      <c r="O23" s="2" t="s">
        <v>91</v>
      </c>
      <c r="Q23" s="9">
        <f>Q22+1</f>
        <v>46201</v>
      </c>
      <c r="R23" s="10">
        <f>COUNTIFS($L$2:$L$24,"&lt;="&amp;Q23)</f>
        <v>5</v>
      </c>
      <c r="S23" s="10">
        <f>$W$1-R23</f>
        <v>18</v>
      </c>
      <c r="T23" s="10">
        <f>$W$1*(1-(Q23-$W$2)/($W$3-$W$2))</f>
        <v>15.081967213114755</v>
      </c>
    </row>
    <row r="24" spans="1:20" x14ac:dyDescent="0.2">
      <c r="A24" s="1" t="s">
        <v>94</v>
      </c>
      <c r="B24" s="2" t="s">
        <v>95</v>
      </c>
      <c r="C24" s="2" t="s">
        <v>82</v>
      </c>
      <c r="D24" s="2" t="s">
        <v>90</v>
      </c>
      <c r="E24" s="2" t="s">
        <v>54</v>
      </c>
      <c r="F24" s="2" t="s">
        <v>20</v>
      </c>
      <c r="G24" s="2" t="s">
        <v>58</v>
      </c>
      <c r="H24" s="3">
        <v>46237</v>
      </c>
      <c r="I24" s="3">
        <v>46238</v>
      </c>
      <c r="J24" s="3">
        <v>46239</v>
      </c>
      <c r="K24" s="3">
        <v>46241</v>
      </c>
      <c r="L24" s="3">
        <v>46241</v>
      </c>
      <c r="M24" s="2" t="b">
        <v>1</v>
      </c>
      <c r="N24" s="2">
        <v>1</v>
      </c>
      <c r="O24" s="2" t="s">
        <v>96</v>
      </c>
      <c r="Q24" s="9">
        <f>Q23+1</f>
        <v>46202</v>
      </c>
      <c r="R24" s="10">
        <f>COUNTIFS($L$2:$L$24,"&lt;="&amp;Q24)</f>
        <v>5</v>
      </c>
      <c r="S24" s="10">
        <f>$W$1-R24</f>
        <v>18</v>
      </c>
      <c r="T24" s="10">
        <f>$W$1*(1-(Q24-$W$2)/($W$3-$W$2))</f>
        <v>14.704918032786885</v>
      </c>
    </row>
    <row r="25" spans="1:20" x14ac:dyDescent="0.2">
      <c r="Q25" s="9">
        <f>Q24+1</f>
        <v>46203</v>
      </c>
      <c r="R25" s="10">
        <f>COUNTIFS($L$2:$L$24,"&lt;="&amp;Q25)</f>
        <v>5</v>
      </c>
      <c r="S25" s="10">
        <f>$W$1-R25</f>
        <v>18</v>
      </c>
      <c r="T25" s="10">
        <f>$W$1*(1-(Q25-$W$2)/($W$3-$W$2))</f>
        <v>14.327868852459018</v>
      </c>
    </row>
    <row r="26" spans="1:20" x14ac:dyDescent="0.2">
      <c r="Q26" s="9">
        <f>Q25+1</f>
        <v>46204</v>
      </c>
      <c r="R26" s="10">
        <f>COUNTIFS($L$2:$L$24,"&lt;="&amp;Q26)</f>
        <v>5</v>
      </c>
      <c r="S26" s="10">
        <f>$W$1-R26</f>
        <v>18</v>
      </c>
      <c r="T26" s="10">
        <f>$W$1*(1-(Q26-$W$2)/($W$3-$W$2))</f>
        <v>13.950819672131148</v>
      </c>
    </row>
    <row r="27" spans="1:20" x14ac:dyDescent="0.2">
      <c r="Q27" s="9">
        <f>Q26+1</f>
        <v>46205</v>
      </c>
      <c r="R27" s="10">
        <f>COUNTIFS($L$2:$L$24,"&lt;="&amp;Q27)</f>
        <v>5</v>
      </c>
      <c r="S27" s="10">
        <f>$W$1-R27</f>
        <v>18</v>
      </c>
      <c r="T27" s="10">
        <f>$W$1*(1-(Q27-$W$2)/($W$3-$W$2))</f>
        <v>13.573770491803279</v>
      </c>
    </row>
    <row r="28" spans="1:20" x14ac:dyDescent="0.2">
      <c r="Q28" s="9">
        <f>Q27+1</f>
        <v>46206</v>
      </c>
      <c r="R28" s="10">
        <f>COUNTIFS($L$2:$L$24,"&lt;="&amp;Q28)</f>
        <v>8</v>
      </c>
      <c r="S28" s="10">
        <f>$W$1-R28</f>
        <v>15</v>
      </c>
      <c r="T28" s="10">
        <f>$W$1*(1-(Q28-$W$2)/($W$3-$W$2))</f>
        <v>13.196721311475409</v>
      </c>
    </row>
    <row r="29" spans="1:20" x14ac:dyDescent="0.2">
      <c r="Q29" s="9">
        <f>Q28+1</f>
        <v>46207</v>
      </c>
      <c r="R29" s="10">
        <f>COUNTIFS($L$2:$L$24,"&lt;="&amp;Q29)</f>
        <v>8</v>
      </c>
      <c r="S29" s="10">
        <f>$W$1-R29</f>
        <v>15</v>
      </c>
      <c r="T29" s="10">
        <f>$W$1*(1-(Q29-$W$2)/($W$3-$W$2))</f>
        <v>12.81967213114754</v>
      </c>
    </row>
    <row r="30" spans="1:20" x14ac:dyDescent="0.2">
      <c r="Q30" s="9">
        <f>Q29+1</f>
        <v>46208</v>
      </c>
      <c r="R30" s="10">
        <f>COUNTIFS($L$2:$L$24,"&lt;="&amp;Q30)</f>
        <v>8</v>
      </c>
      <c r="S30" s="10">
        <f>$W$1-R30</f>
        <v>15</v>
      </c>
      <c r="T30" s="10">
        <f>$W$1*(1-(Q30-$W$2)/($W$3-$W$2))</f>
        <v>12.44262295081967</v>
      </c>
    </row>
    <row r="31" spans="1:20" x14ac:dyDescent="0.2">
      <c r="Q31" s="9">
        <f>Q30+1</f>
        <v>46209</v>
      </c>
      <c r="R31" s="10">
        <f>COUNTIFS($L$2:$L$24,"&lt;="&amp;Q31)</f>
        <v>8</v>
      </c>
      <c r="S31" s="10">
        <f>$W$1-R31</f>
        <v>15</v>
      </c>
      <c r="T31" s="10">
        <f>$W$1*(1-(Q31-$W$2)/($W$3-$W$2))</f>
        <v>12.065573770491804</v>
      </c>
    </row>
    <row r="32" spans="1:20" x14ac:dyDescent="0.2">
      <c r="Q32" s="9">
        <f>Q31+1</f>
        <v>46210</v>
      </c>
      <c r="R32" s="10">
        <f>COUNTIFS($L$2:$L$24,"&lt;="&amp;Q32)</f>
        <v>8</v>
      </c>
      <c r="S32" s="10">
        <f>$W$1-R32</f>
        <v>15</v>
      </c>
      <c r="T32" s="10">
        <f>$W$1*(1-(Q32-$W$2)/($W$3-$W$2))</f>
        <v>11.688524590163935</v>
      </c>
    </row>
    <row r="33" spans="17:20" x14ac:dyDescent="0.2">
      <c r="Q33" s="9">
        <f>Q32+1</f>
        <v>46211</v>
      </c>
      <c r="R33" s="10">
        <f>COUNTIFS($L$2:$L$24,"&lt;="&amp;Q33)</f>
        <v>8</v>
      </c>
      <c r="S33" s="10">
        <f>$W$1-R33</f>
        <v>15</v>
      </c>
      <c r="T33" s="10">
        <f>$W$1*(1-(Q33-$W$2)/($W$3-$W$2))</f>
        <v>11.311475409836065</v>
      </c>
    </row>
    <row r="34" spans="17:20" x14ac:dyDescent="0.2">
      <c r="Q34" s="9">
        <f>Q33+1</f>
        <v>46212</v>
      </c>
      <c r="R34" s="10">
        <f>COUNTIFS($L$2:$L$24,"&lt;="&amp;Q34)</f>
        <v>8</v>
      </c>
      <c r="S34" s="10">
        <f>$W$1-R34</f>
        <v>15</v>
      </c>
      <c r="T34" s="10">
        <f>$W$1*(1-(Q34-$W$2)/($W$3-$W$2))</f>
        <v>10.934426229508196</v>
      </c>
    </row>
    <row r="35" spans="17:20" x14ac:dyDescent="0.2">
      <c r="Q35" s="9">
        <f>Q34+1</f>
        <v>46213</v>
      </c>
      <c r="R35" s="10">
        <f>COUNTIFS($L$2:$L$24,"&lt;="&amp;Q35)</f>
        <v>12</v>
      </c>
      <c r="S35" s="10">
        <f>$W$1-R35</f>
        <v>11</v>
      </c>
      <c r="T35" s="10">
        <f>$W$1*(1-(Q35-$W$2)/($W$3-$W$2))</f>
        <v>10.557377049180326</v>
      </c>
    </row>
    <row r="36" spans="17:20" x14ac:dyDescent="0.2">
      <c r="Q36" s="9">
        <f>Q35+1</f>
        <v>46214</v>
      </c>
      <c r="R36" s="10">
        <f>COUNTIFS($L$2:$L$24,"&lt;="&amp;Q36)</f>
        <v>12</v>
      </c>
      <c r="S36" s="10">
        <f>$W$1-R36</f>
        <v>11</v>
      </c>
      <c r="T36" s="10">
        <f>$W$1*(1-(Q36-$W$2)/($W$3-$W$2))</f>
        <v>10.18032786885246</v>
      </c>
    </row>
    <row r="37" spans="17:20" x14ac:dyDescent="0.2">
      <c r="Q37" s="9">
        <f>Q36+1</f>
        <v>46215</v>
      </c>
      <c r="R37" s="10">
        <f>COUNTIFS($L$2:$L$24,"&lt;="&amp;Q37)</f>
        <v>12</v>
      </c>
      <c r="S37" s="10">
        <f>$W$1-R37</f>
        <v>11</v>
      </c>
      <c r="T37" s="10">
        <f>$W$1*(1-(Q37-$W$2)/($W$3-$W$2))</f>
        <v>9.8032786885245908</v>
      </c>
    </row>
    <row r="38" spans="17:20" x14ac:dyDescent="0.2">
      <c r="Q38" s="9">
        <f>Q37+1</f>
        <v>46216</v>
      </c>
      <c r="R38" s="10">
        <f>COUNTIFS($L$2:$L$24,"&lt;="&amp;Q38)</f>
        <v>12</v>
      </c>
      <c r="S38" s="10">
        <f>$W$1-R38</f>
        <v>11</v>
      </c>
      <c r="T38" s="10">
        <f>$W$1*(1-(Q38-$W$2)/($W$3-$W$2))</f>
        <v>9.4262295081967213</v>
      </c>
    </row>
    <row r="39" spans="17:20" x14ac:dyDescent="0.2">
      <c r="Q39" s="9">
        <f>Q38+1</f>
        <v>46217</v>
      </c>
      <c r="R39" s="10">
        <f>COUNTIFS($L$2:$L$24,"&lt;="&amp;Q39)</f>
        <v>12</v>
      </c>
      <c r="S39" s="10">
        <f>$W$1-R39</f>
        <v>11</v>
      </c>
      <c r="T39" s="10">
        <f>$W$1*(1-(Q39-$W$2)/($W$3-$W$2))</f>
        <v>9.0491803278688518</v>
      </c>
    </row>
    <row r="40" spans="17:20" x14ac:dyDescent="0.2">
      <c r="Q40" s="9">
        <f>Q39+1</f>
        <v>46218</v>
      </c>
      <c r="R40" s="10">
        <f>COUNTIFS($L$2:$L$24,"&lt;="&amp;Q40)</f>
        <v>12</v>
      </c>
      <c r="S40" s="10">
        <f>$W$1-R40</f>
        <v>11</v>
      </c>
      <c r="T40" s="10">
        <f>$W$1*(1-(Q40-$W$2)/($W$3-$W$2))</f>
        <v>8.6721311475409824</v>
      </c>
    </row>
    <row r="41" spans="17:20" x14ac:dyDescent="0.2">
      <c r="Q41" s="9">
        <f>Q40+1</f>
        <v>46219</v>
      </c>
      <c r="R41" s="10">
        <f>COUNTIFS($L$2:$L$24,"&lt;="&amp;Q41)</f>
        <v>12</v>
      </c>
      <c r="S41" s="10">
        <f>$W$1-R41</f>
        <v>11</v>
      </c>
      <c r="T41" s="10">
        <f>$W$1*(1-(Q41-$W$2)/($W$3-$W$2))</f>
        <v>8.2950819672131146</v>
      </c>
    </row>
    <row r="42" spans="17:20" x14ac:dyDescent="0.2">
      <c r="Q42" s="9">
        <f>Q41+1</f>
        <v>46220</v>
      </c>
      <c r="R42" s="10">
        <f>COUNTIFS($L$2:$L$24,"&lt;="&amp;Q42)</f>
        <v>16</v>
      </c>
      <c r="S42" s="10">
        <f>$W$1-R42</f>
        <v>7</v>
      </c>
      <c r="T42" s="10">
        <f>$W$1*(1-(Q42-$W$2)/($W$3-$W$2))</f>
        <v>7.9180327868852469</v>
      </c>
    </row>
    <row r="43" spans="17:20" x14ac:dyDescent="0.2">
      <c r="Q43" s="9">
        <f>Q42+1</f>
        <v>46221</v>
      </c>
      <c r="R43" s="10">
        <f>COUNTIFS($L$2:$L$24,"&lt;="&amp;Q43)</f>
        <v>16</v>
      </c>
      <c r="S43" s="10">
        <f>$W$1-R43</f>
        <v>7</v>
      </c>
      <c r="T43" s="10">
        <f>$W$1*(1-(Q43-$W$2)/($W$3-$W$2))</f>
        <v>7.5409836065573774</v>
      </c>
    </row>
    <row r="44" spans="17:20" x14ac:dyDescent="0.2">
      <c r="Q44" s="9">
        <f>Q43+1</f>
        <v>46222</v>
      </c>
      <c r="R44" s="10">
        <f>COUNTIFS($L$2:$L$24,"&lt;="&amp;Q44)</f>
        <v>16</v>
      </c>
      <c r="S44" s="10">
        <f>$W$1-R44</f>
        <v>7</v>
      </c>
      <c r="T44" s="10">
        <f>$W$1*(1-(Q44-$W$2)/($W$3-$W$2))</f>
        <v>7.1639344262295088</v>
      </c>
    </row>
    <row r="45" spans="17:20" x14ac:dyDescent="0.2">
      <c r="Q45" s="9">
        <f>Q44+1</f>
        <v>46223</v>
      </c>
      <c r="R45" s="10">
        <f>COUNTIFS($L$2:$L$24,"&lt;="&amp;Q45)</f>
        <v>16</v>
      </c>
      <c r="S45" s="10">
        <f>$W$1-R45</f>
        <v>7</v>
      </c>
      <c r="T45" s="10">
        <f>$W$1*(1-(Q45-$W$2)/($W$3-$W$2))</f>
        <v>6.7868852459016393</v>
      </c>
    </row>
    <row r="46" spans="17:20" x14ac:dyDescent="0.2">
      <c r="Q46" s="9">
        <f>Q45+1</f>
        <v>46224</v>
      </c>
      <c r="R46" s="10">
        <f>COUNTIFS($L$2:$L$24,"&lt;="&amp;Q46)</f>
        <v>16</v>
      </c>
      <c r="S46" s="10">
        <f>$W$1-R46</f>
        <v>7</v>
      </c>
      <c r="T46" s="10">
        <f>$W$1*(1-(Q46-$W$2)/($W$3-$W$2))</f>
        <v>6.4098360655737698</v>
      </c>
    </row>
    <row r="47" spans="17:20" x14ac:dyDescent="0.2">
      <c r="Q47" s="9">
        <f>Q46+1</f>
        <v>46225</v>
      </c>
      <c r="R47" s="10">
        <f>COUNTIFS($L$2:$L$24,"&lt;="&amp;Q47)</f>
        <v>16</v>
      </c>
      <c r="S47" s="10">
        <f>$W$1-R47</f>
        <v>7</v>
      </c>
      <c r="T47" s="10">
        <f>$W$1*(1-(Q47-$W$2)/($W$3-$W$2))</f>
        <v>6.0327868852459003</v>
      </c>
    </row>
    <row r="48" spans="17:20" x14ac:dyDescent="0.2">
      <c r="Q48" s="9">
        <f>Q47+1</f>
        <v>46226</v>
      </c>
      <c r="R48" s="10">
        <f>COUNTIFS($L$2:$L$24,"&lt;="&amp;Q48)</f>
        <v>16</v>
      </c>
      <c r="S48" s="10">
        <f>$W$1-R48</f>
        <v>7</v>
      </c>
      <c r="T48" s="10">
        <f>$W$1*(1-(Q48-$W$2)/($W$3-$W$2))</f>
        <v>5.6557377049180335</v>
      </c>
    </row>
    <row r="49" spans="17:20" x14ac:dyDescent="0.2">
      <c r="Q49" s="9">
        <f>Q48+1</f>
        <v>46227</v>
      </c>
      <c r="R49" s="10">
        <f>COUNTIFS($L$2:$L$24,"&lt;="&amp;Q49)</f>
        <v>19</v>
      </c>
      <c r="S49" s="10">
        <f>$W$1-R49</f>
        <v>4</v>
      </c>
      <c r="T49" s="10">
        <f>$W$1*(1-(Q49-$W$2)/($W$3-$W$2))</f>
        <v>5.2786885245901649</v>
      </c>
    </row>
    <row r="50" spans="17:20" x14ac:dyDescent="0.2">
      <c r="Q50" s="9">
        <f>Q49+1</f>
        <v>46228</v>
      </c>
      <c r="R50" s="10">
        <f>COUNTIFS($L$2:$L$24,"&lt;="&amp;Q50)</f>
        <v>19</v>
      </c>
      <c r="S50" s="10">
        <f>$W$1-R50</f>
        <v>4</v>
      </c>
      <c r="T50" s="10">
        <f>$W$1*(1-(Q50-$W$2)/($W$3-$W$2))</f>
        <v>4.9016393442622954</v>
      </c>
    </row>
    <row r="51" spans="17:20" x14ac:dyDescent="0.2">
      <c r="Q51" s="9">
        <f>Q50+1</f>
        <v>46229</v>
      </c>
      <c r="R51" s="10">
        <f>COUNTIFS($L$2:$L$24,"&lt;="&amp;Q51)</f>
        <v>19</v>
      </c>
      <c r="S51" s="10">
        <f>$W$1-R51</f>
        <v>4</v>
      </c>
      <c r="T51" s="10">
        <f>$W$1*(1-(Q51-$W$2)/($W$3-$W$2))</f>
        <v>4.5245901639344259</v>
      </c>
    </row>
    <row r="52" spans="17:20" x14ac:dyDescent="0.2">
      <c r="Q52" s="9">
        <f>Q51+1</f>
        <v>46230</v>
      </c>
      <c r="R52" s="10">
        <f>COUNTIFS($L$2:$L$24,"&lt;="&amp;Q52)</f>
        <v>19</v>
      </c>
      <c r="S52" s="10">
        <f>$W$1-R52</f>
        <v>4</v>
      </c>
      <c r="T52" s="10">
        <f>$W$1*(1-(Q52-$W$2)/($W$3-$W$2))</f>
        <v>4.1475409836065573</v>
      </c>
    </row>
    <row r="53" spans="17:20" x14ac:dyDescent="0.2">
      <c r="Q53" s="9">
        <f>Q52+1</f>
        <v>46231</v>
      </c>
      <c r="R53" s="10">
        <f>COUNTIFS($L$2:$L$24,"&lt;="&amp;Q53)</f>
        <v>19</v>
      </c>
      <c r="S53" s="10">
        <f>$W$1-R53</f>
        <v>4</v>
      </c>
      <c r="T53" s="10">
        <f>$W$1*(1-(Q53-$W$2)/($W$3-$W$2))</f>
        <v>3.7704918032786878</v>
      </c>
    </row>
    <row r="54" spans="17:20" x14ac:dyDescent="0.2">
      <c r="Q54" s="9">
        <f>Q53+1</f>
        <v>46232</v>
      </c>
      <c r="R54" s="10">
        <f>COUNTIFS($L$2:$L$24,"&lt;="&amp;Q54)</f>
        <v>19</v>
      </c>
      <c r="S54" s="10">
        <f>$W$1-R54</f>
        <v>4</v>
      </c>
      <c r="T54" s="10">
        <f>$W$1*(1-(Q54-$W$2)/($W$3-$W$2))</f>
        <v>3.393442622950821</v>
      </c>
    </row>
    <row r="55" spans="17:20" x14ac:dyDescent="0.2">
      <c r="Q55" s="9">
        <f>Q54+1</f>
        <v>46233</v>
      </c>
      <c r="R55" s="10">
        <f>COUNTIFS($L$2:$L$24,"&lt;="&amp;Q55)</f>
        <v>19</v>
      </c>
      <c r="S55" s="10">
        <f>$W$1-R55</f>
        <v>4</v>
      </c>
      <c r="T55" s="10">
        <f>$W$1*(1-(Q55-$W$2)/($W$3-$W$2))</f>
        <v>3.0163934426229515</v>
      </c>
    </row>
    <row r="56" spans="17:20" x14ac:dyDescent="0.2">
      <c r="Q56" s="9">
        <f>Q55+1</f>
        <v>46234</v>
      </c>
      <c r="R56" s="10">
        <f>COUNTIFS($L$2:$L$24,"&lt;="&amp;Q56)</f>
        <v>22</v>
      </c>
      <c r="S56" s="10">
        <f>$W$1-R56</f>
        <v>1</v>
      </c>
      <c r="T56" s="10">
        <f>$W$1*(1-(Q56-$W$2)/($W$3-$W$2))</f>
        <v>2.6393442622950825</v>
      </c>
    </row>
    <row r="57" spans="17:20" x14ac:dyDescent="0.2">
      <c r="Q57" s="9">
        <f>Q56+1</f>
        <v>46235</v>
      </c>
      <c r="R57" s="10">
        <f>COUNTIFS($L$2:$L$24,"&lt;="&amp;Q57)</f>
        <v>22</v>
      </c>
      <c r="S57" s="10">
        <f>$W$1-R57</f>
        <v>1</v>
      </c>
      <c r="T57" s="10">
        <f>$W$1*(1-(Q57-$W$2)/($W$3-$W$2))</f>
        <v>2.262295081967213</v>
      </c>
    </row>
    <row r="58" spans="17:20" x14ac:dyDescent="0.2">
      <c r="Q58" s="9">
        <f>Q57+1</f>
        <v>46236</v>
      </c>
      <c r="R58" s="10">
        <f>COUNTIFS($L$2:$L$24,"&lt;="&amp;Q58)</f>
        <v>22</v>
      </c>
      <c r="S58" s="10">
        <f>$W$1-R58</f>
        <v>1</v>
      </c>
      <c r="T58" s="10">
        <f>$W$1*(1-(Q58-$W$2)/($W$3-$W$2))</f>
        <v>1.8852459016393439</v>
      </c>
    </row>
    <row r="59" spans="17:20" x14ac:dyDescent="0.2">
      <c r="Q59" s="9">
        <f>Q58+1</f>
        <v>46237</v>
      </c>
      <c r="R59" s="10">
        <f>COUNTIFS($L$2:$L$24,"&lt;="&amp;Q59)</f>
        <v>22</v>
      </c>
      <c r="S59" s="10">
        <f>$W$1-R59</f>
        <v>1</v>
      </c>
      <c r="T59" s="10">
        <f>$W$1*(1-(Q59-$W$2)/($W$3-$W$2))</f>
        <v>1.5081967213114744</v>
      </c>
    </row>
    <row r="60" spans="17:20" x14ac:dyDescent="0.2">
      <c r="Q60" s="9">
        <f>Q59+1</f>
        <v>46238</v>
      </c>
      <c r="R60" s="10">
        <f>COUNTIFS($L$2:$L$24,"&lt;="&amp;Q60)</f>
        <v>22</v>
      </c>
      <c r="S60" s="10">
        <f>$W$1-R60</f>
        <v>1</v>
      </c>
      <c r="T60" s="10">
        <f>$W$1*(1-(Q60-$W$2)/($W$3-$W$2))</f>
        <v>1.1311475409836078</v>
      </c>
    </row>
    <row r="61" spans="17:20" x14ac:dyDescent="0.2">
      <c r="Q61" s="9">
        <f>Q60+1</f>
        <v>46239</v>
      </c>
      <c r="R61" s="10">
        <f>COUNTIFS($L$2:$L$24,"&lt;="&amp;Q61)</f>
        <v>22</v>
      </c>
      <c r="S61" s="10">
        <f>$W$1-R61</f>
        <v>1</v>
      </c>
      <c r="T61" s="10">
        <f>$W$1*(1-(Q61-$W$2)/($W$3-$W$2))</f>
        <v>0.75409836065573854</v>
      </c>
    </row>
    <row r="62" spans="17:20" x14ac:dyDescent="0.2">
      <c r="Q62" s="9">
        <f>Q61+1</f>
        <v>46240</v>
      </c>
      <c r="R62" s="10">
        <f>COUNTIFS($L$2:$L$24,"&lt;="&amp;Q62)</f>
        <v>22</v>
      </c>
      <c r="S62" s="10">
        <f>$W$1-R62</f>
        <v>1</v>
      </c>
      <c r="T62" s="10">
        <f>$W$1*(1-(Q62-$W$2)/($W$3-$W$2))</f>
        <v>0.37704918032786927</v>
      </c>
    </row>
    <row r="63" spans="17:20" x14ac:dyDescent="0.2">
      <c r="Q63" s="9">
        <f>Q62+1</f>
        <v>46241</v>
      </c>
      <c r="R63" s="10">
        <f>COUNTIFS($L$2:$L$24,"&lt;="&amp;Q63)</f>
        <v>23</v>
      </c>
      <c r="S63" s="10">
        <f>$W$1-R63</f>
        <v>0</v>
      </c>
      <c r="T63" s="10">
        <f>$W$1*(1-(Q63-$W$2)/($W$3-$W$2))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Ramirez</dc:creator>
  <cp:lastModifiedBy>Isaac Ramirez</cp:lastModifiedBy>
  <dcterms:created xsi:type="dcterms:W3CDTF">2026-05-17T21:14:57Z</dcterms:created>
  <dcterms:modified xsi:type="dcterms:W3CDTF">2026-05-17T21:23:18Z</dcterms:modified>
</cp:coreProperties>
</file>