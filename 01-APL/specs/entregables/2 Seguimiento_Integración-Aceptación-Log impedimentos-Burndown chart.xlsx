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losemmanuelramirezcastanon/Library/Mobile Documents/com~apple~CloudDocs/Agile Project Leader/14. Proyecto PIDA/02. Entrega etapa 2/Delivery/Seguimiento/"/>
    </mc:Choice>
  </mc:AlternateContent>
  <xr:revisionPtr revIDLastSave="0" documentId="13_ncr:1_{CA9200F9-8E59-DE4F-A94D-A6862D20FDCA}" xr6:coauthVersionLast="47" xr6:coauthVersionMax="47" xr10:uidLastSave="{00000000-0000-0000-0000-000000000000}"/>
  <bookViews>
    <workbookView xWindow="0" yWindow="780" windowWidth="36000" windowHeight="22600" xr2:uid="{917AABA5-6686-D14D-B14A-BF9C2A57A818}"/>
  </bookViews>
  <sheets>
    <sheet name="Seguimeinto de Integ &amp; accept" sheetId="1" r:id="rId1"/>
    <sheet name="Burndown " sheetId="4" r:id="rId2"/>
    <sheet name="log de impedimentos" sheetId="6" r:id="rId3"/>
  </sheets>
  <externalReferences>
    <externalReference r:id="rId4"/>
  </externalReferences>
  <definedNames>
    <definedName name="_xlnm._FilterDatabase" localSheetId="2" hidden="1">'log de impedimentos'!$A$5:$L$10</definedName>
  </definedNames>
  <calcPr calcId="181029"/>
  <pivotCaches>
    <pivotCache cacheId="190" r:id="rId5"/>
    <pivotCache cacheId="19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6" i="1"/>
  <c r="E8" i="4"/>
  <c r="D8" i="4"/>
  <c r="D9" i="4"/>
  <c r="D7" i="4"/>
</calcChain>
</file>

<file path=xl/sharedStrings.xml><?xml version="1.0" encoding="utf-8"?>
<sst xmlns="http://schemas.openxmlformats.org/spreadsheetml/2006/main" count="380" uniqueCount="195">
  <si>
    <t>Orden</t>
  </si>
  <si>
    <t>ID</t>
  </si>
  <si>
    <t>Zona</t>
  </si>
  <si>
    <t>Tipo</t>
  </si>
  <si>
    <t>Épica</t>
  </si>
  <si>
    <t>Prioridad</t>
  </si>
  <si>
    <t>Semanas planeadas</t>
  </si>
  <si>
    <t>Fechas</t>
  </si>
  <si>
    <t>CR-001</t>
  </si>
  <si>
    <t>🔶 Zona 1 (San José Centro)</t>
  </si>
  <si>
    <t>Corredor comercial</t>
  </si>
  <si>
    <t>E1 Golden Cluster</t>
  </si>
  <si>
    <t>Golden Cluster</t>
  </si>
  <si>
    <t>2-3</t>
  </si>
  <si>
    <t>10-23 junio</t>
  </si>
  <si>
    <t>CR-003</t>
  </si>
  <si>
    <t>🔶 Zona 2 (Escazú)</t>
  </si>
  <si>
    <t>Urbano denso</t>
  </si>
  <si>
    <t>CR-005</t>
  </si>
  <si>
    <t>🔶 Zona 3 (Curridabat)</t>
  </si>
  <si>
    <t>CR-014</t>
  </si>
  <si>
    <t>🔶 Zona 4 (Heredia)</t>
  </si>
  <si>
    <t>Suburbano</t>
  </si>
  <si>
    <t>E2 Despliegue Urbano</t>
  </si>
  <si>
    <t>Alta</t>
  </si>
  <si>
    <t>3-4</t>
  </si>
  <si>
    <t>17-30 junio</t>
  </si>
  <si>
    <t>CR-019</t>
  </si>
  <si>
    <t>🔶 Zona 5 (Alajuela)</t>
  </si>
  <si>
    <t>CR-002</t>
  </si>
  <si>
    <t>🔶 Zona 6 (San José Oeste)</t>
  </si>
  <si>
    <t>CR-004</t>
  </si>
  <si>
    <t>🔶 Zona 7 (Santa Ana)</t>
  </si>
  <si>
    <t>CR-006</t>
  </si>
  <si>
    <t>🔶 Zona 8 (Sabana)</t>
  </si>
  <si>
    <t>4-5</t>
  </si>
  <si>
    <t>24 junio - 06 julio</t>
  </si>
  <si>
    <t>CR-007</t>
  </si>
  <si>
    <t>🔶 Zona 9 (Tibás)</t>
  </si>
  <si>
    <t>CR-008</t>
  </si>
  <si>
    <t>🔶 Zona 10 (Moravia)</t>
  </si>
  <si>
    <t>Media</t>
  </si>
  <si>
    <t>CR-009</t>
  </si>
  <si>
    <t>🔶 Zona 11 (Pavas)</t>
  </si>
  <si>
    <t>CR-011</t>
  </si>
  <si>
    <t>🔶 Zona 12 (Desamparados)</t>
  </si>
  <si>
    <t>CR-012</t>
  </si>
  <si>
    <t>🔶 Zona 13 (Goicoechea)</t>
  </si>
  <si>
    <t>5-6</t>
  </si>
  <si>
    <t>01-13 julio</t>
  </si>
  <si>
    <t>CR-013</t>
  </si>
  <si>
    <t>🔶 Zona 14 (Hatillo)</t>
  </si>
  <si>
    <t>CR-010</t>
  </si>
  <si>
    <t>🔶 Zona 15 (San Pedro)</t>
  </si>
  <si>
    <t>CR-015</t>
  </si>
  <si>
    <t>🔶 Zona 16 (Cartago)</t>
  </si>
  <si>
    <t>E3 Suburbano</t>
  </si>
  <si>
    <t>CR-018</t>
  </si>
  <si>
    <t>🔶 Zona 17 (Coronado)</t>
  </si>
  <si>
    <t>6-7</t>
  </si>
  <si>
    <t>07-21 julio</t>
  </si>
  <si>
    <t>CR-021</t>
  </si>
  <si>
    <t>🔶 Zona 18 (Heredia Centro)</t>
  </si>
  <si>
    <t>CR-022</t>
  </si>
  <si>
    <t>🔶 Zona 19 (Alajuela Centro)</t>
  </si>
  <si>
    <t>CR-016</t>
  </si>
  <si>
    <t>🔶 Zona 20 (Cartago Centro)</t>
  </si>
  <si>
    <t>CR-017</t>
  </si>
  <si>
    <t>🔶 Zona 21 (Tres Ríos)</t>
  </si>
  <si>
    <t>E4 Sitios de Cierre</t>
  </si>
  <si>
    <t>Baja</t>
  </si>
  <si>
    <t>7-8</t>
  </si>
  <si>
    <t>14-27 julio</t>
  </si>
  <si>
    <t>CR-020</t>
  </si>
  <si>
    <t>🔶 Zona 22 (Aserrí)</t>
  </si>
  <si>
    <t>CR-023</t>
  </si>
  <si>
    <t>🔶 Zona 23 (Liberia)</t>
  </si>
  <si>
    <t>Baja (pendiente readiness)</t>
  </si>
  <si>
    <t>Fecha de Plan Integración</t>
  </si>
  <si>
    <t>Fecha de Real Integración</t>
  </si>
  <si>
    <t>Fecha planeada aceptación</t>
  </si>
  <si>
    <t>Fecha real Aceptación</t>
  </si>
  <si>
    <t>Gráfico de Avance (Burndown) — actualizado al cierre de Semana 4</t>
  </si>
  <si>
    <t>23 sitios · ejecución continua W2-W8 (sin pausa) · corte W4 = 6/23 · 🔶 proyección</t>
  </si>
  <si>
    <t>Entregable Plan de Trabajo APL — fila 28 (activa W2-W8)</t>
  </si>
  <si>
    <t>Semana</t>
  </si>
  <si>
    <t>Rango</t>
  </si>
  <si>
    <t>FTR acum. 🔶</t>
  </si>
  <si>
    <t>Hito</t>
  </si>
  <si>
    <t>W1</t>
  </si>
  <si>
    <t>3-9 jun</t>
  </si>
  <si>
    <t>—</t>
  </si>
  <si>
    <t>Setup + kickoff</t>
  </si>
  <si>
    <t>W2</t>
  </si>
  <si>
    <t>100%</t>
  </si>
  <si>
    <t>Golden Cluster se integra</t>
  </si>
  <si>
    <t>W3</t>
  </si>
  <si>
    <t>W4</t>
  </si>
  <si>
    <t>W5</t>
  </si>
  <si>
    <t>W6</t>
  </si>
  <si>
    <t>W7</t>
  </si>
  <si>
    <t>W8</t>
  </si>
  <si>
    <t>Cierre ejecución (23 sitios)</t>
  </si>
  <si>
    <t>Week</t>
  </si>
  <si>
    <t>2</t>
  </si>
  <si>
    <t>3</t>
  </si>
  <si>
    <t>4</t>
  </si>
  <si>
    <t>5</t>
  </si>
  <si>
    <t>6</t>
  </si>
  <si>
    <t>Row Labels</t>
  </si>
  <si>
    <t>Grand Total</t>
  </si>
  <si>
    <t>Count of ID</t>
  </si>
  <si>
    <t>(All)</t>
  </si>
  <si>
    <t>Integrado</t>
  </si>
  <si>
    <t>pendiente</t>
  </si>
  <si>
    <t>Status integración</t>
  </si>
  <si>
    <t>On going</t>
  </si>
  <si>
    <t>Status Aceptación</t>
  </si>
  <si>
    <t>Aceptado</t>
  </si>
  <si>
    <t>Pendiente</t>
  </si>
  <si>
    <t>Cluster validado + 1ª Retrospectiva+ Despliegue sitios 3 a 7</t>
  </si>
  <si>
    <t xml:space="preserve">Despliegue continuo sitios de 7 a 12  (CORTE de avance) </t>
  </si>
  <si>
    <t>Despliegue sitios del 13 al 16+ 2ª Retro · Entrega de avance (1 jul)</t>
  </si>
  <si>
    <t>Despliegue sitios del 17 al 20 + Sesión de coaching</t>
  </si>
  <si>
    <t>Despliegue sitios del 21 al 23+ 3ª Retrospectiva</t>
  </si>
  <si>
    <t>Corte W4 (Entrega de Avance): 7/23 sitios (30%) aceptados, FTR 96% (sobre meta ≥90%).</t>
  </si>
  <si>
    <t>FTR</t>
  </si>
  <si>
    <t>No</t>
  </si>
  <si>
    <t>Sí</t>
  </si>
  <si>
    <t>Documento vivo W2-W8. Despliegue masivo escalando; sin bloqueos mayores hasta la fecha.</t>
  </si>
  <si>
    <t>Fecha detección</t>
  </si>
  <si>
    <t>Sitio</t>
  </si>
  <si>
    <t>Descripción</t>
  </si>
  <si>
    <t>Severidad</t>
  </si>
  <si>
    <t>Owner</t>
  </si>
  <si>
    <t>Acciones</t>
  </si>
  <si>
    <t>Fecha resolución</t>
  </si>
  <si>
    <t>Tiempo</t>
  </si>
  <si>
    <t>FTR impactado</t>
  </si>
  <si>
    <t>Estado</t>
  </si>
  <si>
    <t>Aprendizaje</t>
  </si>
  <si>
    <t>IMP-01</t>
  </si>
  <si>
    <t>🔶 11 jun</t>
  </si>
  <si>
    <t>Ajuste menor de template B41 (esperado en cluster). R-TEC-01.</t>
  </si>
  <si>
    <t>Carlos + Diego</t>
  </si>
  <si>
    <t>Ajuste vía ENM; validado</t>
  </si>
  <si>
    <t>~4h</t>
  </si>
  <si>
    <t>Template v2 (acción retro #10)</t>
  </si>
  <si>
    <t>IMP-02</t>
  </si>
  <si>
    <t>🔶 12 jun</t>
  </si>
  <si>
    <t>Acoplamiento de Sandeep al daily. R-EQUIPO-01.</t>
  </si>
  <si>
    <t>Carlos</t>
  </si>
  <si>
    <t>Daily inglés; buddy Diego</t>
  </si>
  <si>
    <t>🔶 13 jun</t>
  </si>
  <si>
    <t>2 días</t>
  </si>
  <si>
    <t>Daily en inglés permanente</t>
  </si>
  <si>
    <t>IMP-03</t>
  </si>
  <si>
    <t>🔶 18 jun</t>
  </si>
  <si>
    <t>Validación KPI más larga (urbano denso). R-TEC-02.</t>
  </si>
  <si>
    <t>Sofía</t>
  </si>
  <si>
    <t>Validación extendida 72h</t>
  </si>
  <si>
    <t>🔶 19 jun</t>
  </si>
  <si>
    <t>~1.5 días</t>
  </si>
  <si>
    <t>Acción retro #2: validación 72h en densos</t>
  </si>
  <si>
    <t>CR-014*</t>
  </si>
  <si>
    <t>Marco</t>
  </si>
  <si>
    <t>Tilt -2°→-4° + reducción 1 dB → 103 Mbps</t>
  </si>
  <si>
    <t>56h</t>
  </si>
  <si>
    <t>Acción retro #1: freshness check RF ≤3 meses en DoR</t>
  </si>
  <si>
    <t>🔶 W4</t>
  </si>
  <si>
    <t>🔶 22 jun</t>
  </si>
  <si>
    <t xml:space="preserve">CASO DE REFERENCIA: DL throughput 92&lt;100 Mbps por edificio nuevo no reflejado en plan RF. </t>
  </si>
  <si>
    <t>Seguimiento de Integración y Aceptación — Expansión LTE Banda 41</t>
  </si>
  <si>
    <t>Resuelto ✅</t>
  </si>
  <si>
    <t>🔶 Métricas: 0 bloqueos activos · 100% resueltos &lt;72h · 0 escalaciones al CPM. El caso de referencia CR-014 ilustra el patrón de plan RF desactualizado.</t>
  </si>
  <si>
    <t>IMP-04</t>
  </si>
  <si>
    <t>Bajo Throughput luego de implementación</t>
  </si>
  <si>
    <t>Revisión de configuraciones y features, analisis de tráfico.</t>
  </si>
  <si>
    <t>~8h</t>
  </si>
  <si>
    <t>Si</t>
  </si>
  <si>
    <t>Revisión de check list the integración.</t>
  </si>
  <si>
    <t>Semana aceptación</t>
  </si>
  <si>
    <t>Sitios Completados (acum.) 🔶</t>
  </si>
  <si>
    <t>Sitios Pendientes 🔶</t>
  </si>
  <si>
    <t>Log de Impedimentos y Bloqueos — acumulado al corte W4</t>
  </si>
  <si>
    <t>10-16 junio</t>
  </si>
  <si>
    <t>17-23 junio</t>
  </si>
  <si>
    <t>24 junio - 30 junio</t>
  </si>
  <si>
    <t>01-06 julio</t>
  </si>
  <si>
    <t>07-13 julio</t>
  </si>
  <si>
    <t>14-21 julio</t>
  </si>
  <si>
    <t>W9</t>
  </si>
  <si>
    <t>21 julio - 27 julio</t>
  </si>
  <si>
    <t>28 julio - 03 Agosto</t>
  </si>
  <si>
    <t>IMP-05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</si>
</sst>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9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name val="Calibri"/>
      <family val="2"/>
    </font>
    <font>
      <i/>
      <sz val="10"/>
      <color rgb="FF555555"/>
      <name val="Calibri"/>
      <family val="2"/>
    </font>
    <font>
      <b/>
      <sz val="2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E69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4" borderId="2" xfId="0" applyNumberFormat="1" applyFont="1" applyFill="1" applyBorder="1" applyAlignment="1">
      <alignment horizontal="center" vertical="center" wrapText="1"/>
    </xf>
    <xf numFmtId="168" fontId="2" fillId="5" borderId="1" xfId="0" applyNumberFormat="1" applyFont="1" applyFill="1" applyBorder="1" applyAlignment="1">
      <alignment horizontal="center" vertical="center" wrapText="1"/>
    </xf>
    <xf numFmtId="168" fontId="2" fillId="6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8" fontId="2" fillId="7" borderId="1" xfId="0" applyNumberFormat="1" applyFont="1" applyFill="1" applyBorder="1" applyAlignment="1">
      <alignment horizontal="center" vertical="center" wrapText="1"/>
    </xf>
    <xf numFmtId="168" fontId="4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0" borderId="0" xfId="1" applyFont="1"/>
    <xf numFmtId="0" fontId="5" fillId="0" borderId="0" xfId="1"/>
    <xf numFmtId="0" fontId="5" fillId="0" borderId="0" xfId="1"/>
    <xf numFmtId="0" fontId="7" fillId="0" borderId="0" xfId="1" applyFont="1"/>
    <xf numFmtId="0" fontId="1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0" fontId="2" fillId="3" borderId="1" xfId="1" applyNumberFormat="1" applyFont="1" applyFill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10" fontId="2" fillId="7" borderId="1" xfId="1" applyNumberFormat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2" fillId="10" borderId="1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B0CACC2-556D-774A-963C-F20E109A0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 Seguimiento_Integración-Aceptación-Log impedimentos-Burndown chart.xlsx]Seguimeinto de Integ &amp; accept!PivotTable8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Status integración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'Seguimeinto de Integ &amp; accept'!$Y$5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'Seguimeinto de Integ &amp; accept'!$X$6:$X$9</c:f>
              <c:strCache>
                <c:ptCount val="3"/>
                <c:pt idx="0">
                  <c:v>Integrado</c:v>
                </c:pt>
                <c:pt idx="1">
                  <c:v>On going</c:v>
                </c:pt>
                <c:pt idx="2">
                  <c:v>pendiente</c:v>
                </c:pt>
              </c:strCache>
            </c:strRef>
          </c:cat>
          <c:val>
            <c:numRef>
              <c:f>'Seguimeinto de Integ &amp; accept'!$Y$6:$Y$9</c:f>
              <c:numCache>
                <c:formatCode>General</c:formatCode>
                <c:ptCount val="3"/>
                <c:pt idx="0">
                  <c:v>12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748C-DB4A-9AA4-84D2B1742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61030906937106"/>
          <c:y val="0.39937455261274152"/>
          <c:w val="0.15373562817922096"/>
          <c:h val="0.21413452934860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 Seguimiento_Integración-Aceptación-Log impedimentos-Burndown chart.xlsx]Seguimeinto de Integ &amp; accept!PivotTable9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Status Aceptación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'Seguimeinto de Integ &amp; accept'!$AC$2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'Seguimeinto de Integ &amp; accept'!$AB$3:$AB$5</c:f>
              <c:strCache>
                <c:ptCount val="2"/>
                <c:pt idx="0">
                  <c:v>Aceptado</c:v>
                </c:pt>
                <c:pt idx="1">
                  <c:v>Pendiente</c:v>
                </c:pt>
              </c:strCache>
            </c:strRef>
          </c:cat>
          <c:val>
            <c:numRef>
              <c:f>'Seguimeinto de Integ &amp; accept'!$AC$3:$AC$5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6-374C-8023-DBB25E387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Burndown — Pendientes vs Completados (corte W4)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'Burndown '!$C$5</c:f>
              <c:strCache>
                <c:ptCount val="1"/>
                <c:pt idx="0">
                  <c:v>Sitios Completados (acum.) 🔶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'Burndown '!$A$6:$A$13</c:f>
              <c:strCache>
                <c:ptCount val="8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</c:strCache>
            </c:strRef>
          </c:cat>
          <c:val>
            <c:numRef>
              <c:f>'Burndown '!$C$6:$C$13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11-B241-8A34-373879D2CC6A}"/>
            </c:ext>
          </c:extLst>
        </c:ser>
        <c:ser>
          <c:idx val="1"/>
          <c:order val="1"/>
          <c:tx>
            <c:strRef>
              <c:f>'Burndown '!$D$5</c:f>
              <c:strCache>
                <c:ptCount val="1"/>
                <c:pt idx="0">
                  <c:v>Sitios Pendientes 🔶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'Burndown '!$A$6:$A$13</c:f>
              <c:strCache>
                <c:ptCount val="8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</c:strCache>
            </c:strRef>
          </c:cat>
          <c:val>
            <c:numRef>
              <c:f>'Burndown '!$D$6:$D$13</c:f>
              <c:numCache>
                <c:formatCode>General</c:formatCode>
                <c:ptCount val="8"/>
                <c:pt idx="0">
                  <c:v>23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11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11-B241-8A34-373879D2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28</xdr:row>
      <xdr:rowOff>38100</xdr:rowOff>
    </xdr:from>
    <xdr:to>
      <xdr:col>6</xdr:col>
      <xdr:colOff>812800</xdr:colOff>
      <xdr:row>50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B70F4C-CB81-C4E1-9A55-6C32401EB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876300</xdr:colOff>
      <xdr:row>28</xdr:row>
      <xdr:rowOff>38100</xdr:rowOff>
    </xdr:from>
    <xdr:to>
      <xdr:col>12</xdr:col>
      <xdr:colOff>1028700</xdr:colOff>
      <xdr:row>50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28148-AEFD-E7D3-B53A-CA26F7C01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7404100" cy="4787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4DEB2-7709-4D4D-A873-B60573825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wnloads/semana-4/Burndown-y-Bitacora-Cambios.xlsx" TargetMode="External"/><Relationship Id="rId2" Type="http://schemas.openxmlformats.org/officeDocument/2006/relationships/externalLinkPath" Target="/Users/carlosemmanuelramirezcastanon/Downloads/semana-4/Burndown-y-Bitacora-Cambios.xlsx" TargetMode="External"/><Relationship Id="rId1" Type="http://schemas.openxmlformats.org/officeDocument/2006/relationships/externalLinkPath" Target="/Users/carlosemmanuelramirezcastanon/Downloads/semana-4/Burndown-y-Bitacora-Camb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rndown"/>
      <sheetName val="Bitácora de Cambios al Plan"/>
    </sheetNames>
    <sheetDataSet>
      <sheetData sheetId="0">
        <row r="5">
          <cell r="C5" t="str">
            <v>Sitios completados (acum.) 🔶</v>
          </cell>
          <cell r="D5" t="str">
            <v>Sitios pendientes 🔶</v>
          </cell>
        </row>
        <row r="6">
          <cell r="A6" t="str">
            <v>W1</v>
          </cell>
          <cell r="C6">
            <v>0</v>
          </cell>
          <cell r="D6">
            <v>23</v>
          </cell>
        </row>
        <row r="7">
          <cell r="A7" t="str">
            <v>W2</v>
          </cell>
          <cell r="C7">
            <v>1</v>
          </cell>
          <cell r="D7">
            <v>22</v>
          </cell>
        </row>
        <row r="8">
          <cell r="A8" t="str">
            <v>W3</v>
          </cell>
          <cell r="C8">
            <v>3</v>
          </cell>
          <cell r="D8">
            <v>20</v>
          </cell>
        </row>
        <row r="9">
          <cell r="A9" t="str">
            <v>W4</v>
          </cell>
          <cell r="C9">
            <v>6</v>
          </cell>
          <cell r="D9">
            <v>17</v>
          </cell>
        </row>
        <row r="10">
          <cell r="A10" t="str">
            <v>W5</v>
          </cell>
          <cell r="C10">
            <v>10</v>
          </cell>
          <cell r="D10">
            <v>13</v>
          </cell>
        </row>
        <row r="11">
          <cell r="A11" t="str">
            <v>W6</v>
          </cell>
          <cell r="C11">
            <v>14</v>
          </cell>
          <cell r="D11">
            <v>9</v>
          </cell>
        </row>
        <row r="12">
          <cell r="A12" t="str">
            <v>W7</v>
          </cell>
          <cell r="C12">
            <v>19</v>
          </cell>
          <cell r="D12">
            <v>4</v>
          </cell>
        </row>
        <row r="13">
          <cell r="A13" t="str">
            <v>W8</v>
          </cell>
          <cell r="C13">
            <v>23</v>
          </cell>
          <cell r="D13">
            <v>0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mmanuel Ramirez Castañon" refreshedDate="46201.082731134258" createdVersion="8" refreshedVersion="8" minRefreshableVersion="3" recordCount="23" xr:uid="{40FE9EDF-622E-BC48-84BA-9224DDD84A8A}">
  <cacheSource type="worksheet">
    <worksheetSource ref="A5:O28" sheet="Seguimeinto de Integ &amp; accept"/>
  </cacheSource>
  <cacheFields count="16">
    <cacheField name="Orden" numFmtId="0">
      <sharedItems containsSemiMixedTypes="0" containsString="0" containsNumber="1" containsInteger="1" minValue="1" maxValue="23"/>
    </cacheField>
    <cacheField name="ID" numFmtId="0">
      <sharedItems count="23">
        <s v="CR-001"/>
        <s v="CR-003"/>
        <s v="CR-005"/>
        <s v="CR-014"/>
        <s v="CR-019"/>
        <s v="CR-002"/>
        <s v="CR-004"/>
        <s v="CR-006"/>
        <s v="CR-007"/>
        <s v="CR-008"/>
        <s v="CR-009"/>
        <s v="CR-011"/>
        <s v="CR-012"/>
        <s v="CR-013"/>
        <s v="CR-010"/>
        <s v="CR-015"/>
        <s v="CR-018"/>
        <s v="CR-021"/>
        <s v="CR-022"/>
        <s v="CR-016"/>
        <s v="CR-017"/>
        <s v="CR-020"/>
        <s v="CR-023"/>
      </sharedItems>
    </cacheField>
    <cacheField name="Zona" numFmtId="0">
      <sharedItems/>
    </cacheField>
    <cacheField name="Tipo" numFmtId="0">
      <sharedItems/>
    </cacheField>
    <cacheField name="Épica" numFmtId="0">
      <sharedItems/>
    </cacheField>
    <cacheField name="Prioridad" numFmtId="0">
      <sharedItems/>
    </cacheField>
    <cacheField name="Semanas planeadas" numFmtId="0">
      <sharedItems/>
    </cacheField>
    <cacheField name="Fechas" numFmtId="0">
      <sharedItems/>
    </cacheField>
    <cacheField name="Week" numFmtId="0">
      <sharedItems containsMixedTypes="1" containsNumber="1" containsInteger="1" minValue="7" maxValue="7" count="6">
        <s v="2"/>
        <s v="3"/>
        <s v="4"/>
        <s v="5"/>
        <s v="6"/>
        <n v="7"/>
      </sharedItems>
    </cacheField>
    <cacheField name="Fecha de Plan Integración" numFmtId="168">
      <sharedItems containsSemiMixedTypes="0" containsNonDate="0" containsDate="1" containsString="0" minDate="2026-06-10T00:00:00" maxDate="2026-07-21T00:00:00" count="22">
        <d v="2026-06-10T00:00:00"/>
        <d v="2026-06-11T00:00:00"/>
        <d v="2026-06-12T00:00:00"/>
        <d v="2026-06-17T00:00:00"/>
        <d v="2026-06-18T00:00:00"/>
        <d v="2026-06-19T00:00:00"/>
        <d v="2026-06-20T00:00:00"/>
        <d v="2026-06-24T00:00:00"/>
        <d v="2026-06-25T00:00:00"/>
        <d v="2026-06-26T00:00:00"/>
        <d v="2026-06-27T00:00:00"/>
        <d v="2026-07-01T00:00:00"/>
        <d v="2026-07-02T00:00:00"/>
        <d v="2026-07-03T00:00:00"/>
        <d v="2026-07-04T00:00:00"/>
        <d v="2026-07-07T00:00:00"/>
        <d v="2026-07-08T00:00:00"/>
        <d v="2026-07-09T00:00:00"/>
        <d v="2026-07-20T00:00:00"/>
        <d v="2026-07-14T00:00:00"/>
        <d v="2026-07-15T00:00:00"/>
        <d v="2026-07-16T00:00:00"/>
      </sharedItems>
      <fieldGroup par="15"/>
    </cacheField>
    <cacheField name="Fecha de Real Integración" numFmtId="168">
      <sharedItems containsNonDate="0" containsDate="1" containsString="0" containsBlank="1" minDate="2026-06-10T00:00:00" maxDate="2026-06-26T00:00:00" count="9">
        <d v="2026-06-10T00:00:00"/>
        <d v="2026-06-18T00:00:00"/>
        <d v="2026-06-17T00:00:00"/>
        <d v="2026-06-20T00:00:00"/>
        <d v="2026-06-22T00:00:00"/>
        <d v="2026-06-23T00:00:00"/>
        <d v="2026-06-24T00:00:00"/>
        <d v="2026-06-25T00:00:00"/>
        <m/>
      </sharedItems>
    </cacheField>
    <cacheField name="Status integración" numFmtId="168">
      <sharedItems count="3">
        <s v="Integrado"/>
        <s v="On going"/>
        <s v="pendiente"/>
      </sharedItems>
    </cacheField>
    <cacheField name="Fecha planeada aceptación" numFmtId="168">
      <sharedItems containsSemiMixedTypes="0" containsNonDate="0" containsDate="1" containsString="0" minDate="2026-06-17T00:00:00" maxDate="2026-07-24T00:00:00"/>
    </cacheField>
    <cacheField name="Fecha real Aceptación" numFmtId="168">
      <sharedItems containsNonDate="0" containsDate="1" containsString="0" containsBlank="1" minDate="2026-06-22T00:00:00" maxDate="2026-06-27T00:00:00"/>
    </cacheField>
    <cacheField name="Days (Fecha de Plan Integración)" numFmtId="0" databaseField="0">
      <fieldGroup base="9">
        <rangePr groupBy="days" startDate="2026-06-10T00:00:00" endDate="2026-07-21T00:00:00"/>
        <groupItems count="368">
          <s v="&lt;6/10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1/26"/>
        </groupItems>
      </fieldGroup>
    </cacheField>
    <cacheField name="Months (Fecha de Plan Integración)" numFmtId="0" databaseField="0">
      <fieldGroup base="9">
        <rangePr groupBy="months" startDate="2026-06-10T00:00:00" endDate="2026-07-21T00:00:00"/>
        <groupItems count="14">
          <s v="&lt;6/10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mmanuel Ramirez Castañon" refreshedDate="46201.094456828701" createdVersion="8" refreshedVersion="8" minRefreshableVersion="3" recordCount="23" xr:uid="{B77388A5-1584-EC45-96FA-08EF34133C0C}">
  <cacheSource type="worksheet">
    <worksheetSource ref="A5:Q28" sheet="Seguimeinto de Integ &amp; accept"/>
  </cacheSource>
  <cacheFields count="15">
    <cacheField name="Orden" numFmtId="0">
      <sharedItems containsSemiMixedTypes="0" containsString="0" containsNumber="1" containsInteger="1" minValue="1" maxValue="23"/>
    </cacheField>
    <cacheField name="ID" numFmtId="0">
      <sharedItems/>
    </cacheField>
    <cacheField name="Zona" numFmtId="0">
      <sharedItems/>
    </cacheField>
    <cacheField name="Tipo" numFmtId="0">
      <sharedItems/>
    </cacheField>
    <cacheField name="Épica" numFmtId="0">
      <sharedItems/>
    </cacheField>
    <cacheField name="Prioridad" numFmtId="0">
      <sharedItems/>
    </cacheField>
    <cacheField name="Semanas planeadas" numFmtId="0">
      <sharedItems/>
    </cacheField>
    <cacheField name="Fechas" numFmtId="0">
      <sharedItems/>
    </cacheField>
    <cacheField name="Week" numFmtId="0">
      <sharedItems containsMixedTypes="1" containsNumber="1" containsInteger="1" minValue="7" maxValue="7"/>
    </cacheField>
    <cacheField name="Fecha de Plan Integración" numFmtId="168">
      <sharedItems containsSemiMixedTypes="0" containsNonDate="0" containsDate="1" containsString="0" minDate="2026-06-10T00:00:00" maxDate="2026-07-21T00:00:00"/>
    </cacheField>
    <cacheField name="Fecha de Real Integración" numFmtId="168">
      <sharedItems containsDate="1" containsMixedTypes="1" minDate="2026-06-10T00:00:00" maxDate="2026-06-26T00:00:00"/>
    </cacheField>
    <cacheField name="Status integración" numFmtId="168">
      <sharedItems/>
    </cacheField>
    <cacheField name="Fecha planeada aceptación" numFmtId="168">
      <sharedItems containsSemiMixedTypes="0" containsNonDate="0" containsDate="1" containsString="0" minDate="2026-06-17T00:00:00" maxDate="2026-07-24T00:00:00"/>
    </cacheField>
    <cacheField name="Fecha real Aceptación" numFmtId="168">
      <sharedItems containsNonDate="0" containsDate="1" containsString="0" containsBlank="1" minDate="2026-06-22T00:00:00" maxDate="2026-06-27T00:00:00"/>
    </cacheField>
    <cacheField name="Status Aceptación" numFmtId="168">
      <sharedItems containsBlank="1" count="3">
        <s v="Aceptado"/>
        <s v="Pendien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x v="0"/>
    <s v="🔶 Zona 1 (San José Centro)"/>
    <s v="Corredor comercial"/>
    <s v="E1 Golden Cluster"/>
    <s v="Golden Cluster"/>
    <s v="2-3"/>
    <s v="10-23 junio"/>
    <x v="0"/>
    <x v="0"/>
    <x v="0"/>
    <x v="0"/>
    <d v="2026-06-17T00:00:00"/>
    <d v="2026-06-22T00:00:00"/>
  </r>
  <r>
    <n v="2"/>
    <x v="1"/>
    <s v="🔶 Zona 2 (Escazú)"/>
    <s v="Urbano denso"/>
    <s v="E1 Golden Cluster"/>
    <s v="Golden Cluster"/>
    <s v="2-3"/>
    <s v="10-23 junio"/>
    <x v="0"/>
    <x v="1"/>
    <x v="0"/>
    <x v="0"/>
    <d v="2026-06-18T00:00:00"/>
    <d v="2026-06-22T00:00:00"/>
  </r>
  <r>
    <n v="3"/>
    <x v="2"/>
    <s v="🔶 Zona 3 (Curridabat)"/>
    <s v="Urbano denso"/>
    <s v="E1 Golden Cluster"/>
    <s v="Golden Cluster"/>
    <s v="2-3"/>
    <s v="10-23 junio"/>
    <x v="0"/>
    <x v="2"/>
    <x v="0"/>
    <x v="0"/>
    <d v="2026-06-19T00:00:00"/>
    <d v="2026-06-22T00:00:00"/>
  </r>
  <r>
    <n v="4"/>
    <x v="3"/>
    <s v="🔶 Zona 4 (Heredia)"/>
    <s v="Suburbano"/>
    <s v="E2 Despliegue Urbano"/>
    <s v="Alta"/>
    <s v="3-4"/>
    <s v="17-30 junio"/>
    <x v="1"/>
    <x v="3"/>
    <x v="1"/>
    <x v="0"/>
    <d v="2026-06-24T00:00:00"/>
    <d v="2026-06-26T00:00:00"/>
  </r>
  <r>
    <n v="5"/>
    <x v="4"/>
    <s v="🔶 Zona 5 (Alajuela)"/>
    <s v="Suburbano"/>
    <s v="E2 Despliegue Urbano"/>
    <s v="Alta"/>
    <s v="3-4"/>
    <s v="17-30 junio"/>
    <x v="1"/>
    <x v="4"/>
    <x v="2"/>
    <x v="0"/>
    <d v="2026-06-25T00:00:00"/>
    <d v="2026-06-26T00:00:00"/>
  </r>
  <r>
    <n v="6"/>
    <x v="5"/>
    <s v="🔶 Zona 6 (San José Oeste)"/>
    <s v="Corredor comercial"/>
    <s v="E2 Despliegue Urbano"/>
    <s v="Alta"/>
    <s v="3-4"/>
    <s v="17-30 junio"/>
    <x v="1"/>
    <x v="5"/>
    <x v="3"/>
    <x v="0"/>
    <d v="2026-06-26T00:00:00"/>
    <d v="2026-06-26T00:00:00"/>
  </r>
  <r>
    <n v="7"/>
    <x v="6"/>
    <s v="🔶 Zona 7 (Santa Ana)"/>
    <s v="Urbano denso"/>
    <s v="E2 Despliegue Urbano"/>
    <s v="Alta"/>
    <s v="3-4"/>
    <s v="17-30 junio"/>
    <x v="1"/>
    <x v="6"/>
    <x v="3"/>
    <x v="0"/>
    <d v="2026-06-27T00:00:00"/>
    <d v="2026-06-26T00:00:00"/>
  </r>
  <r>
    <n v="8"/>
    <x v="7"/>
    <s v="🔶 Zona 8 (Sabana)"/>
    <s v="Urbano denso"/>
    <s v="E2 Despliegue Urbano"/>
    <s v="Alta"/>
    <s v="4-5"/>
    <s v="24 junio - 06 julio"/>
    <x v="2"/>
    <x v="7"/>
    <x v="4"/>
    <x v="0"/>
    <d v="2026-07-01T00:00:00"/>
    <m/>
  </r>
  <r>
    <n v="9"/>
    <x v="8"/>
    <s v="🔶 Zona 9 (Tibás)"/>
    <s v="Urbano denso"/>
    <s v="E2 Despliegue Urbano"/>
    <s v="Alta"/>
    <s v="4-5"/>
    <s v="24 junio - 06 julio"/>
    <x v="2"/>
    <x v="7"/>
    <x v="5"/>
    <x v="0"/>
    <d v="2026-07-02T00:00:00"/>
    <m/>
  </r>
  <r>
    <n v="10"/>
    <x v="9"/>
    <s v="🔶 Zona 10 (Moravia)"/>
    <s v="Urbano denso"/>
    <s v="E2 Despliegue Urbano"/>
    <s v="Media"/>
    <s v="4-5"/>
    <s v="24 junio - 06 julio"/>
    <x v="2"/>
    <x v="8"/>
    <x v="5"/>
    <x v="0"/>
    <d v="2026-07-03T00:00:00"/>
    <m/>
  </r>
  <r>
    <n v="11"/>
    <x v="10"/>
    <s v="🔶 Zona 11 (Pavas)"/>
    <s v="Urbano denso"/>
    <s v="E2 Despliegue Urbano"/>
    <s v="Media"/>
    <s v="4-5"/>
    <s v="24 junio - 06 julio"/>
    <x v="2"/>
    <x v="9"/>
    <x v="6"/>
    <x v="0"/>
    <d v="2026-07-04T00:00:00"/>
    <m/>
  </r>
  <r>
    <n v="12"/>
    <x v="11"/>
    <s v="🔶 Zona 12 (Desamparados)"/>
    <s v="Urbano denso"/>
    <s v="E2 Despliegue Urbano"/>
    <s v="Media"/>
    <s v="4-5"/>
    <s v="24 junio - 06 julio"/>
    <x v="2"/>
    <x v="10"/>
    <x v="7"/>
    <x v="0"/>
    <d v="2026-07-06T00:00:00"/>
    <m/>
  </r>
  <r>
    <n v="13"/>
    <x v="12"/>
    <s v="🔶 Zona 13 (Goicoechea)"/>
    <s v="Urbano denso"/>
    <s v="E2 Despliegue Urbano"/>
    <s v="Media"/>
    <s v="5-6"/>
    <s v="01-13 julio"/>
    <x v="3"/>
    <x v="11"/>
    <x v="8"/>
    <x v="1"/>
    <d v="2026-07-08T00:00:00"/>
    <m/>
  </r>
  <r>
    <n v="14"/>
    <x v="13"/>
    <s v="🔶 Zona 14 (Hatillo)"/>
    <s v="Urbano denso"/>
    <s v="E2 Despliegue Urbano"/>
    <s v="Media"/>
    <s v="5-6"/>
    <s v="01-13 julio"/>
    <x v="3"/>
    <x v="12"/>
    <x v="8"/>
    <x v="1"/>
    <d v="2026-07-09T00:00:00"/>
    <m/>
  </r>
  <r>
    <n v="15"/>
    <x v="14"/>
    <s v="🔶 Zona 15 (San Pedro)"/>
    <s v="Urbano denso"/>
    <s v="E2 Despliegue Urbano"/>
    <s v="Media"/>
    <s v="5-6"/>
    <s v="01-13 julio"/>
    <x v="3"/>
    <x v="13"/>
    <x v="8"/>
    <x v="1"/>
    <d v="2026-07-10T00:00:00"/>
    <m/>
  </r>
  <r>
    <n v="16"/>
    <x v="15"/>
    <s v="🔶 Zona 16 (Cartago)"/>
    <s v="Suburbano"/>
    <s v="E3 Suburbano"/>
    <s v="Media"/>
    <s v="5-6"/>
    <s v="01-13 julio"/>
    <x v="3"/>
    <x v="14"/>
    <x v="8"/>
    <x v="2"/>
    <d v="2026-07-11T00:00:00"/>
    <m/>
  </r>
  <r>
    <n v="17"/>
    <x v="16"/>
    <s v="🔶 Zona 17 (Coronado)"/>
    <s v="Suburbano"/>
    <s v="E3 Suburbano"/>
    <s v="Media"/>
    <s v="6-7"/>
    <s v="07-21 julio"/>
    <x v="4"/>
    <x v="15"/>
    <x v="8"/>
    <x v="2"/>
    <d v="2026-07-14T00:00:00"/>
    <m/>
  </r>
  <r>
    <n v="18"/>
    <x v="17"/>
    <s v="🔶 Zona 18 (Heredia Centro)"/>
    <s v="Suburbano"/>
    <s v="E3 Suburbano"/>
    <s v="Media"/>
    <s v="6-7"/>
    <s v="07-21 julio"/>
    <x v="4"/>
    <x v="16"/>
    <x v="8"/>
    <x v="2"/>
    <d v="2026-07-15T00:00:00"/>
    <m/>
  </r>
  <r>
    <n v="19"/>
    <x v="18"/>
    <s v="🔶 Zona 19 (Alajuela Centro)"/>
    <s v="Suburbano"/>
    <s v="E3 Suburbano"/>
    <s v="Media"/>
    <s v="6-7"/>
    <s v="07-21 julio"/>
    <x v="4"/>
    <x v="17"/>
    <x v="8"/>
    <x v="2"/>
    <d v="2026-07-16T00:00:00"/>
    <m/>
  </r>
  <r>
    <n v="20"/>
    <x v="19"/>
    <s v="🔶 Zona 20 (Cartago Centro)"/>
    <s v="Suburbano"/>
    <s v="E3 Suburbano"/>
    <s v="Media"/>
    <s v="6-7"/>
    <s v="07-21 julio"/>
    <x v="4"/>
    <x v="18"/>
    <x v="8"/>
    <x v="2"/>
    <d v="2026-07-17T00:00:00"/>
    <m/>
  </r>
  <r>
    <n v="21"/>
    <x v="20"/>
    <s v="🔶 Zona 21 (Tres Ríos)"/>
    <s v="Suburbano"/>
    <s v="E4 Sitios de Cierre"/>
    <s v="Baja"/>
    <s v="7-8"/>
    <s v="14-27 julio"/>
    <x v="5"/>
    <x v="19"/>
    <x v="8"/>
    <x v="2"/>
    <d v="2026-07-21T00:00:00"/>
    <m/>
  </r>
  <r>
    <n v="22"/>
    <x v="21"/>
    <s v="🔶 Zona 22 (Aserrí)"/>
    <s v="Suburbano"/>
    <s v="E4 Sitios de Cierre"/>
    <s v="Baja"/>
    <s v="7-8"/>
    <s v="14-27 julio"/>
    <x v="5"/>
    <x v="20"/>
    <x v="8"/>
    <x v="2"/>
    <d v="2026-07-22T00:00:00"/>
    <m/>
  </r>
  <r>
    <n v="23"/>
    <x v="22"/>
    <s v="🔶 Zona 23 (Liberia)"/>
    <s v="Suburbano"/>
    <s v="E4 Sitios de Cierre"/>
    <s v="Baja (pendiente readiness)"/>
    <s v="7-8"/>
    <s v="14-27 julio"/>
    <x v="5"/>
    <x v="21"/>
    <x v="8"/>
    <x v="2"/>
    <d v="2026-07-23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s v="CR-001"/>
    <s v="🔶 Zona 1 (San José Centro)"/>
    <s v="Corredor comercial"/>
    <s v="E1 Golden Cluster"/>
    <s v="Golden Cluster"/>
    <s v="2-3"/>
    <s v="10-23 junio"/>
    <s v="2"/>
    <d v="2026-06-10T00:00:00"/>
    <d v="2026-06-10T00:00:00"/>
    <s v="Integrado"/>
    <d v="2026-06-17T00:00:00"/>
    <d v="2026-06-22T00:00:00"/>
    <x v="0"/>
  </r>
  <r>
    <n v="2"/>
    <s v="CR-003"/>
    <s v="🔶 Zona 2 (Escazú)"/>
    <s v="Urbano denso"/>
    <s v="E1 Golden Cluster"/>
    <s v="Golden Cluster"/>
    <s v="2-3"/>
    <s v="10-23 junio"/>
    <s v="2"/>
    <d v="2026-06-11T00:00:00"/>
    <d v="2026-06-10T00:00:00"/>
    <s v="Integrado"/>
    <d v="2026-06-18T00:00:00"/>
    <d v="2026-06-22T00:00:00"/>
    <x v="0"/>
  </r>
  <r>
    <n v="3"/>
    <s v="CR-005"/>
    <s v="🔶 Zona 3 (Curridabat)"/>
    <s v="Urbano denso"/>
    <s v="E1 Golden Cluster"/>
    <s v="Golden Cluster"/>
    <s v="2-3"/>
    <s v="10-23 junio"/>
    <s v="2"/>
    <d v="2026-06-12T00:00:00"/>
    <d v="2026-06-10T00:00:00"/>
    <s v="Integrado"/>
    <d v="2026-06-19T00:00:00"/>
    <d v="2026-06-22T00:00:00"/>
    <x v="0"/>
  </r>
  <r>
    <n v="4"/>
    <s v="CR-014"/>
    <s v="🔶 Zona 4 (Heredia)"/>
    <s v="Suburbano"/>
    <s v="E2 Despliegue Urbano"/>
    <s v="Alta"/>
    <s v="3-4"/>
    <s v="17-30 junio"/>
    <s v="3"/>
    <d v="2026-06-17T00:00:00"/>
    <d v="2026-06-18T00:00:00"/>
    <s v="Integrado"/>
    <d v="2026-06-24T00:00:00"/>
    <d v="2026-06-26T00:00:00"/>
    <x v="0"/>
  </r>
  <r>
    <n v="5"/>
    <s v="CR-019"/>
    <s v="🔶 Zona 5 (Alajuela)"/>
    <s v="Suburbano"/>
    <s v="E2 Despliegue Urbano"/>
    <s v="Alta"/>
    <s v="3-4"/>
    <s v="17-30 junio"/>
    <s v="3"/>
    <d v="2026-06-18T00:00:00"/>
    <d v="2026-06-17T00:00:00"/>
    <s v="Integrado"/>
    <d v="2026-06-25T00:00:00"/>
    <d v="2026-06-26T00:00:00"/>
    <x v="0"/>
  </r>
  <r>
    <n v="6"/>
    <s v="CR-002"/>
    <s v="🔶 Zona 6 (San José Oeste)"/>
    <s v="Corredor comercial"/>
    <s v="E2 Despliegue Urbano"/>
    <s v="Alta"/>
    <s v="3-4"/>
    <s v="17-30 junio"/>
    <s v="3"/>
    <d v="2026-06-19T00:00:00"/>
    <d v="2026-06-20T00:00:00"/>
    <s v="Integrado"/>
    <d v="2026-06-26T00:00:00"/>
    <d v="2026-06-26T00:00:00"/>
    <x v="0"/>
  </r>
  <r>
    <n v="7"/>
    <s v="CR-004"/>
    <s v="🔶 Zona 7 (Santa Ana)"/>
    <s v="Urbano denso"/>
    <s v="E2 Despliegue Urbano"/>
    <s v="Alta"/>
    <s v="3-4"/>
    <s v="17-30 junio"/>
    <s v="3"/>
    <d v="2026-06-20T00:00:00"/>
    <d v="2026-06-20T00:00:00"/>
    <s v="Integrado"/>
    <d v="2026-06-27T00:00:00"/>
    <d v="2026-06-26T00:00:00"/>
    <x v="0"/>
  </r>
  <r>
    <n v="8"/>
    <s v="CR-006"/>
    <s v="🔶 Zona 8 (Sabana)"/>
    <s v="Urbano denso"/>
    <s v="E2 Despliegue Urbano"/>
    <s v="Alta"/>
    <s v="4-5"/>
    <s v="24 junio - 06 julio"/>
    <s v="4"/>
    <d v="2026-06-24T00:00:00"/>
    <d v="2026-06-22T00:00:00"/>
    <s v="Integrado"/>
    <d v="2026-07-01T00:00:00"/>
    <m/>
    <x v="1"/>
  </r>
  <r>
    <n v="9"/>
    <s v="CR-007"/>
    <s v="🔶 Zona 9 (Tibás)"/>
    <s v="Urbano denso"/>
    <s v="E2 Despliegue Urbano"/>
    <s v="Alta"/>
    <s v="4-5"/>
    <s v="24 junio - 06 julio"/>
    <s v="4"/>
    <d v="2026-06-24T00:00:00"/>
    <d v="2026-06-23T00:00:00"/>
    <s v="Integrado"/>
    <d v="2026-07-02T00:00:00"/>
    <m/>
    <x v="1"/>
  </r>
  <r>
    <n v="10"/>
    <s v="CR-008"/>
    <s v="🔶 Zona 10 (Moravia)"/>
    <s v="Urbano denso"/>
    <s v="E2 Despliegue Urbano"/>
    <s v="Media"/>
    <s v="4-5"/>
    <s v="24 junio - 06 julio"/>
    <s v="4"/>
    <d v="2026-06-25T00:00:00"/>
    <d v="2026-06-23T00:00:00"/>
    <s v="Integrado"/>
    <d v="2026-07-03T00:00:00"/>
    <m/>
    <x v="1"/>
  </r>
  <r>
    <n v="11"/>
    <s v="CR-009"/>
    <s v="🔶 Zona 11 (Pavas)"/>
    <s v="Urbano denso"/>
    <s v="E2 Despliegue Urbano"/>
    <s v="Media"/>
    <s v="4-5"/>
    <s v="24 junio - 06 julio"/>
    <s v="4"/>
    <d v="2026-06-26T00:00:00"/>
    <d v="2026-06-24T00:00:00"/>
    <s v="Integrado"/>
    <d v="2026-07-04T00:00:00"/>
    <m/>
    <x v="1"/>
  </r>
  <r>
    <n v="12"/>
    <s v="CR-011"/>
    <s v="🔶 Zona 12 (Desamparados)"/>
    <s v="Urbano denso"/>
    <s v="E2 Despliegue Urbano"/>
    <s v="Media"/>
    <s v="4-5"/>
    <s v="24 junio - 06 julio"/>
    <s v="4"/>
    <d v="2026-06-27T00:00:00"/>
    <d v="2026-06-25T00:00:00"/>
    <s v="Integrado"/>
    <d v="2026-07-06T00:00:00"/>
    <m/>
    <x v="1"/>
  </r>
  <r>
    <n v="13"/>
    <s v="CR-012"/>
    <s v="🔶 Zona 13 (Goicoechea)"/>
    <s v="Urbano denso"/>
    <s v="E2 Despliegue Urbano"/>
    <s v="Media"/>
    <s v="5-6"/>
    <s v="01-13 julio"/>
    <s v="5"/>
    <d v="2026-07-01T00:00:00"/>
    <s v="On going"/>
    <s v="On going"/>
    <d v="2026-07-08T00:00:00"/>
    <m/>
    <x v="2"/>
  </r>
  <r>
    <n v="14"/>
    <s v="CR-013"/>
    <s v="🔶 Zona 14 (Hatillo)"/>
    <s v="Urbano denso"/>
    <s v="E2 Despliegue Urbano"/>
    <s v="Media"/>
    <s v="5-6"/>
    <s v="01-13 julio"/>
    <s v="5"/>
    <d v="2026-07-02T00:00:00"/>
    <s v="On going"/>
    <s v="On going"/>
    <d v="2026-07-09T00:00:00"/>
    <m/>
    <x v="2"/>
  </r>
  <r>
    <n v="15"/>
    <s v="CR-010"/>
    <s v="🔶 Zona 15 (San Pedro)"/>
    <s v="Urbano denso"/>
    <s v="E2 Despliegue Urbano"/>
    <s v="Media"/>
    <s v="5-6"/>
    <s v="01-13 julio"/>
    <s v="5"/>
    <d v="2026-07-03T00:00:00"/>
    <s v="On going"/>
    <s v="On going"/>
    <d v="2026-07-10T00:00:00"/>
    <m/>
    <x v="2"/>
  </r>
  <r>
    <n v="16"/>
    <s v="CR-015"/>
    <s v="🔶 Zona 16 (Cartago)"/>
    <s v="Suburbano"/>
    <s v="E3 Suburbano"/>
    <s v="Media"/>
    <s v="5-6"/>
    <s v="01-13 julio"/>
    <s v="5"/>
    <d v="2026-07-04T00:00:00"/>
    <s v="pendiente"/>
    <s v="pendiente"/>
    <d v="2026-07-11T00:00:00"/>
    <m/>
    <x v="2"/>
  </r>
  <r>
    <n v="17"/>
    <s v="CR-018"/>
    <s v="🔶 Zona 17 (Coronado)"/>
    <s v="Suburbano"/>
    <s v="E3 Suburbano"/>
    <s v="Media"/>
    <s v="6-7"/>
    <s v="07-21 julio"/>
    <s v="6"/>
    <d v="2026-07-07T00:00:00"/>
    <s v="pendiente"/>
    <s v="pendiente"/>
    <d v="2026-07-14T00:00:00"/>
    <m/>
    <x v="2"/>
  </r>
  <r>
    <n v="18"/>
    <s v="CR-021"/>
    <s v="🔶 Zona 18 (Heredia Centro)"/>
    <s v="Suburbano"/>
    <s v="E3 Suburbano"/>
    <s v="Media"/>
    <s v="6-7"/>
    <s v="07-21 julio"/>
    <s v="6"/>
    <d v="2026-07-08T00:00:00"/>
    <s v="pendiente"/>
    <s v="pendiente"/>
    <d v="2026-07-15T00:00:00"/>
    <m/>
    <x v="2"/>
  </r>
  <r>
    <n v="19"/>
    <s v="CR-022"/>
    <s v="🔶 Zona 19 (Alajuela Centro)"/>
    <s v="Suburbano"/>
    <s v="E3 Suburbano"/>
    <s v="Media"/>
    <s v="6-7"/>
    <s v="07-21 julio"/>
    <s v="6"/>
    <d v="2026-07-09T00:00:00"/>
    <s v="pendiente"/>
    <s v="pendiente"/>
    <d v="2026-07-16T00:00:00"/>
    <m/>
    <x v="2"/>
  </r>
  <r>
    <n v="20"/>
    <s v="CR-016"/>
    <s v="🔶 Zona 20 (Cartago Centro)"/>
    <s v="Suburbano"/>
    <s v="E3 Suburbano"/>
    <s v="Media"/>
    <s v="6-7"/>
    <s v="07-21 julio"/>
    <s v="6"/>
    <d v="2026-07-20T00:00:00"/>
    <s v="pendiente"/>
    <s v="pendiente"/>
    <d v="2026-07-17T00:00:00"/>
    <m/>
    <x v="2"/>
  </r>
  <r>
    <n v="21"/>
    <s v="CR-017"/>
    <s v="🔶 Zona 21 (Tres Ríos)"/>
    <s v="Suburbano"/>
    <s v="E4 Sitios de Cierre"/>
    <s v="Baja"/>
    <s v="7-8"/>
    <s v="14-27 julio"/>
    <n v="7"/>
    <d v="2026-07-14T00:00:00"/>
    <s v="pendiente"/>
    <s v="pendiente"/>
    <d v="2026-07-21T00:00:00"/>
    <m/>
    <x v="2"/>
  </r>
  <r>
    <n v="22"/>
    <s v="CR-020"/>
    <s v="🔶 Zona 22 (Aserrí)"/>
    <s v="Suburbano"/>
    <s v="E4 Sitios de Cierre"/>
    <s v="Baja"/>
    <s v="7-8"/>
    <s v="14-27 julio"/>
    <n v="7"/>
    <d v="2026-07-15T00:00:00"/>
    <s v="pendiente"/>
    <s v="pendiente"/>
    <d v="2026-07-22T00:00:00"/>
    <m/>
    <x v="2"/>
  </r>
  <r>
    <n v="23"/>
    <s v="CR-023"/>
    <s v="🔶 Zona 23 (Liberia)"/>
    <s v="Suburbano"/>
    <s v="E4 Sitios de Cierre"/>
    <s v="Baja (pendiente readiness)"/>
    <s v="7-8"/>
    <s v="14-27 julio"/>
    <n v="7"/>
    <d v="2026-07-16T00:00:00"/>
    <s v="pendiente"/>
    <s v="pendiente"/>
    <d v="2026-07-23T00:00:00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2C7BF-38DB-FF4C-A8E7-F0F2886B351F}" name="PivotTable9" cacheId="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B2:AC5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numFmtId="168"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9270F-2265-A541-AB5E-8EAF511E6BBB}" name="PivotTable8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X5:Y9" firstHeaderRow="1" firstDataRow="1" firstDataCol="1" rowPageCount="2" colPageCount="1"/>
  <pivotFields count="16">
    <pivotField showAll="0"/>
    <pivotField dataField="1" showAll="0">
      <items count="24">
        <item x="0"/>
        <item x="5"/>
        <item x="1"/>
        <item x="6"/>
        <item x="2"/>
        <item x="7"/>
        <item x="8"/>
        <item x="9"/>
        <item x="10"/>
        <item x="14"/>
        <item x="11"/>
        <item x="12"/>
        <item x="13"/>
        <item x="3"/>
        <item x="15"/>
        <item x="19"/>
        <item x="20"/>
        <item x="16"/>
        <item x="4"/>
        <item x="21"/>
        <item x="17"/>
        <item x="18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5"/>
        <item x="0"/>
        <item x="1"/>
        <item x="2"/>
        <item x="3"/>
        <item x="4"/>
        <item t="default"/>
      </items>
    </pivotField>
    <pivotField axis="axisPage" numFmtId="168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18"/>
        <item t="default"/>
      </items>
    </pivotField>
    <pivotField axis="axisPage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  <pivotField numFmtId="168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9" hier="-1"/>
    <pageField fld="10" hier="-1"/>
  </pageFields>
  <dataFields count="1">
    <dataField name="Count of ID" fld="1" subtotal="count" baseField="0" baseItem="0"/>
  </dataFields>
  <chartFormats count="1">
    <chartFormat chart="0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C44715-E85C-AF46-9E25-70304058C9A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1f3375-e619-45e3-91a2-6f7b544e5f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F1ED-B7BB-AC4B-9F65-ACAC3DAE9B18}">
  <dimension ref="A1:AC28"/>
  <sheetViews>
    <sheetView tabSelected="1" topLeftCell="D1" workbookViewId="0">
      <selection activeCell="K18" sqref="K18:K28"/>
    </sheetView>
  </sheetViews>
  <sheetFormatPr baseColWidth="10" defaultRowHeight="16" x14ac:dyDescent="0.2"/>
  <cols>
    <col min="1" max="1" width="7" customWidth="1"/>
    <col min="2" max="2" width="8" customWidth="1"/>
    <col min="3" max="3" width="24" customWidth="1"/>
    <col min="4" max="4" width="18" customWidth="1"/>
    <col min="5" max="5" width="22" customWidth="1"/>
    <col min="6" max="6" width="14" customWidth="1"/>
    <col min="7" max="9" width="13" customWidth="1"/>
    <col min="10" max="10" width="23.5" customWidth="1"/>
    <col min="11" max="11" width="22.5" style="14" bestFit="1" customWidth="1"/>
    <col min="12" max="12" width="15" style="14" bestFit="1" customWidth="1"/>
    <col min="13" max="13" width="19" bestFit="1" customWidth="1"/>
    <col min="14" max="14" width="19" customWidth="1"/>
    <col min="15" max="15" width="16.5" bestFit="1" customWidth="1"/>
    <col min="16" max="16" width="12.1640625" customWidth="1"/>
    <col min="24" max="24" width="22" bestFit="1" customWidth="1"/>
    <col min="25" max="25" width="10.33203125" bestFit="1" customWidth="1"/>
    <col min="26" max="26" width="30.33203125" bestFit="1" customWidth="1"/>
    <col min="27" max="27" width="7.5" bestFit="1" customWidth="1"/>
    <col min="28" max="28" width="13" bestFit="1" customWidth="1"/>
    <col min="29" max="29" width="10.33203125" bestFit="1" customWidth="1"/>
    <col min="30" max="32" width="7.5" bestFit="1" customWidth="1"/>
    <col min="33" max="33" width="10.5" bestFit="1" customWidth="1"/>
    <col min="34" max="34" width="24.83203125" bestFit="1" customWidth="1"/>
    <col min="35" max="35" width="20" bestFit="1" customWidth="1"/>
    <col min="36" max="36" width="22.5" bestFit="1" customWidth="1"/>
    <col min="37" max="37" width="22.1640625" bestFit="1" customWidth="1"/>
    <col min="38" max="39" width="24.6640625" bestFit="1" customWidth="1"/>
    <col min="40" max="40" width="7.5" bestFit="1" customWidth="1"/>
    <col min="41" max="41" width="27.1640625" bestFit="1" customWidth="1"/>
    <col min="42" max="42" width="22.33203125" bestFit="1" customWidth="1"/>
    <col min="43" max="43" width="24.83203125" bestFit="1" customWidth="1"/>
    <col min="44" max="44" width="20" bestFit="1" customWidth="1"/>
    <col min="45" max="45" width="22.5" bestFit="1" customWidth="1"/>
    <col min="46" max="46" width="22.1640625" bestFit="1" customWidth="1"/>
    <col min="47" max="47" width="24.6640625" bestFit="1" customWidth="1"/>
    <col min="48" max="48" width="10.5" bestFit="1" customWidth="1"/>
    <col min="49" max="56" width="30.33203125" bestFit="1" customWidth="1"/>
    <col min="57" max="57" width="14.6640625" bestFit="1" customWidth="1"/>
    <col min="58" max="59" width="35" bestFit="1" customWidth="1"/>
    <col min="60" max="60" width="22.1640625" bestFit="1" customWidth="1"/>
    <col min="61" max="62" width="24.6640625" bestFit="1" customWidth="1"/>
    <col min="63" max="63" width="7.5" bestFit="1" customWidth="1"/>
    <col min="64" max="64" width="27.1640625" bestFit="1" customWidth="1"/>
    <col min="65" max="65" width="22.33203125" bestFit="1" customWidth="1"/>
    <col min="66" max="66" width="24.83203125" bestFit="1" customWidth="1"/>
    <col min="67" max="67" width="20" bestFit="1" customWidth="1"/>
    <col min="68" max="68" width="22.5" bestFit="1" customWidth="1"/>
    <col min="69" max="69" width="22.1640625" bestFit="1" customWidth="1"/>
    <col min="70" max="70" width="24.6640625" bestFit="1" customWidth="1"/>
    <col min="71" max="72" width="35" bestFit="1" customWidth="1"/>
  </cols>
  <sheetData>
    <row r="1" spans="1:29" ht="27" x14ac:dyDescent="0.35">
      <c r="A1" s="43" t="s">
        <v>172</v>
      </c>
      <c r="B1" s="43"/>
      <c r="C1" s="43"/>
      <c r="D1" s="43"/>
      <c r="E1" s="43"/>
      <c r="F1" s="43"/>
      <c r="G1" s="43"/>
      <c r="H1" s="43"/>
      <c r="I1" s="43"/>
    </row>
    <row r="2" spans="1:29" x14ac:dyDescent="0.2">
      <c r="X2" s="31" t="s">
        <v>78</v>
      </c>
      <c r="Y2" t="s">
        <v>112</v>
      </c>
      <c r="AB2" s="31" t="s">
        <v>109</v>
      </c>
      <c r="AC2" t="s">
        <v>111</v>
      </c>
    </row>
    <row r="3" spans="1:29" x14ac:dyDescent="0.2">
      <c r="X3" s="31" t="s">
        <v>79</v>
      </c>
      <c r="Y3" t="s">
        <v>112</v>
      </c>
      <c r="AB3" s="32" t="s">
        <v>118</v>
      </c>
      <c r="AC3" s="33">
        <v>7</v>
      </c>
    </row>
    <row r="4" spans="1:29" x14ac:dyDescent="0.2">
      <c r="AB4" s="32" t="s">
        <v>119</v>
      </c>
      <c r="AC4" s="33">
        <v>5</v>
      </c>
    </row>
    <row r="5" spans="1:29" ht="32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3" t="s">
        <v>103</v>
      </c>
      <c r="J5" s="13" t="s">
        <v>78</v>
      </c>
      <c r="K5" s="15" t="s">
        <v>79</v>
      </c>
      <c r="L5" s="15" t="s">
        <v>115</v>
      </c>
      <c r="M5" s="1" t="s">
        <v>80</v>
      </c>
      <c r="N5" s="1"/>
      <c r="O5" s="1" t="s">
        <v>81</v>
      </c>
      <c r="P5" s="1" t="s">
        <v>181</v>
      </c>
      <c r="Q5" s="1" t="s">
        <v>117</v>
      </c>
      <c r="R5" s="1" t="s">
        <v>126</v>
      </c>
      <c r="X5" s="31" t="s">
        <v>109</v>
      </c>
      <c r="Y5" t="s">
        <v>111</v>
      </c>
      <c r="AB5" s="32" t="s">
        <v>110</v>
      </c>
      <c r="AC5" s="33">
        <v>12</v>
      </c>
    </row>
    <row r="6" spans="1:29" x14ac:dyDescent="0.2">
      <c r="A6" s="2">
        <v>1</v>
      </c>
      <c r="B6" s="2" t="s">
        <v>8</v>
      </c>
      <c r="C6" s="3" t="s">
        <v>9</v>
      </c>
      <c r="D6" s="3" t="s">
        <v>10</v>
      </c>
      <c r="E6" s="2" t="s">
        <v>11</v>
      </c>
      <c r="F6" s="2" t="s">
        <v>12</v>
      </c>
      <c r="G6" s="4" t="s">
        <v>13</v>
      </c>
      <c r="H6" s="4" t="s">
        <v>14</v>
      </c>
      <c r="I6" s="4" t="s">
        <v>104</v>
      </c>
      <c r="J6" s="16">
        <v>46183</v>
      </c>
      <c r="K6" s="16">
        <v>46183</v>
      </c>
      <c r="L6" s="16" t="s">
        <v>113</v>
      </c>
      <c r="M6" s="20">
        <v>46190</v>
      </c>
      <c r="N6" s="20">
        <f>K6+5</f>
        <v>46188</v>
      </c>
      <c r="O6" s="20">
        <v>46195</v>
      </c>
      <c r="P6" s="45">
        <v>3</v>
      </c>
      <c r="Q6" s="20" t="s">
        <v>118</v>
      </c>
      <c r="R6" s="20" t="s">
        <v>127</v>
      </c>
      <c r="X6" s="32" t="s">
        <v>113</v>
      </c>
      <c r="Y6" s="33">
        <v>12</v>
      </c>
    </row>
    <row r="7" spans="1:29" x14ac:dyDescent="0.2">
      <c r="A7" s="2">
        <v>2</v>
      </c>
      <c r="B7" s="2" t="s">
        <v>15</v>
      </c>
      <c r="C7" s="3" t="s">
        <v>16</v>
      </c>
      <c r="D7" s="3" t="s">
        <v>17</v>
      </c>
      <c r="E7" s="2" t="s">
        <v>11</v>
      </c>
      <c r="F7" s="2" t="s">
        <v>12</v>
      </c>
      <c r="G7" s="4" t="s">
        <v>13</v>
      </c>
      <c r="H7" s="4" t="s">
        <v>14</v>
      </c>
      <c r="I7" s="4" t="s">
        <v>104</v>
      </c>
      <c r="J7" s="16">
        <v>46184</v>
      </c>
      <c r="K7" s="16">
        <v>46183</v>
      </c>
      <c r="L7" s="16" t="s">
        <v>113</v>
      </c>
      <c r="M7" s="20">
        <v>46191</v>
      </c>
      <c r="N7" s="20">
        <f t="shared" ref="N7:N12" si="0">K7+5</f>
        <v>46188</v>
      </c>
      <c r="O7" s="20">
        <v>46195</v>
      </c>
      <c r="P7" s="45">
        <v>3</v>
      </c>
      <c r="Q7" s="20" t="s">
        <v>118</v>
      </c>
      <c r="R7" s="20" t="s">
        <v>128</v>
      </c>
      <c r="X7" s="32" t="s">
        <v>116</v>
      </c>
      <c r="Y7" s="33">
        <v>3</v>
      </c>
    </row>
    <row r="8" spans="1:29" x14ac:dyDescent="0.2">
      <c r="A8" s="2">
        <v>3</v>
      </c>
      <c r="B8" s="2" t="s">
        <v>18</v>
      </c>
      <c r="C8" s="3" t="s">
        <v>19</v>
      </c>
      <c r="D8" s="3" t="s">
        <v>17</v>
      </c>
      <c r="E8" s="2" t="s">
        <v>11</v>
      </c>
      <c r="F8" s="2" t="s">
        <v>12</v>
      </c>
      <c r="G8" s="4" t="s">
        <v>13</v>
      </c>
      <c r="H8" s="4" t="s">
        <v>14</v>
      </c>
      <c r="I8" s="4" t="s">
        <v>104</v>
      </c>
      <c r="J8" s="16">
        <v>46185</v>
      </c>
      <c r="K8" s="16">
        <v>46183</v>
      </c>
      <c r="L8" s="16" t="s">
        <v>113</v>
      </c>
      <c r="M8" s="20">
        <v>46192</v>
      </c>
      <c r="N8" s="20">
        <f t="shared" si="0"/>
        <v>46188</v>
      </c>
      <c r="O8" s="20">
        <v>46195</v>
      </c>
      <c r="P8" s="45">
        <v>3</v>
      </c>
      <c r="Q8" s="20" t="s">
        <v>118</v>
      </c>
      <c r="R8" s="20" t="s">
        <v>128</v>
      </c>
      <c r="X8" s="32" t="s">
        <v>114</v>
      </c>
      <c r="Y8" s="33">
        <v>8</v>
      </c>
    </row>
    <row r="9" spans="1:29" x14ac:dyDescent="0.2">
      <c r="A9" s="5">
        <v>4</v>
      </c>
      <c r="B9" s="5" t="s">
        <v>20</v>
      </c>
      <c r="C9" s="6" t="s">
        <v>21</v>
      </c>
      <c r="D9" s="6" t="s">
        <v>22</v>
      </c>
      <c r="E9" s="5" t="s">
        <v>23</v>
      </c>
      <c r="F9" s="5" t="s">
        <v>24</v>
      </c>
      <c r="G9" s="7" t="s">
        <v>25</v>
      </c>
      <c r="H9" s="7" t="s">
        <v>26</v>
      </c>
      <c r="I9" s="7" t="s">
        <v>105</v>
      </c>
      <c r="J9" s="17">
        <v>46190</v>
      </c>
      <c r="K9" s="17">
        <v>46191</v>
      </c>
      <c r="L9" s="17" t="s">
        <v>113</v>
      </c>
      <c r="M9" s="17">
        <v>46197</v>
      </c>
      <c r="N9" s="20">
        <f t="shared" si="0"/>
        <v>46196</v>
      </c>
      <c r="O9" s="17">
        <v>46199</v>
      </c>
      <c r="P9" s="46">
        <v>4</v>
      </c>
      <c r="Q9" s="17" t="s">
        <v>118</v>
      </c>
      <c r="R9" s="17" t="s">
        <v>128</v>
      </c>
      <c r="X9" s="32" t="s">
        <v>110</v>
      </c>
      <c r="Y9" s="33">
        <v>23</v>
      </c>
    </row>
    <row r="10" spans="1:29" x14ac:dyDescent="0.2">
      <c r="A10" s="5">
        <v>5</v>
      </c>
      <c r="B10" s="5" t="s">
        <v>27</v>
      </c>
      <c r="C10" s="6" t="s">
        <v>28</v>
      </c>
      <c r="D10" s="6" t="s">
        <v>22</v>
      </c>
      <c r="E10" s="5" t="s">
        <v>23</v>
      </c>
      <c r="F10" s="5" t="s">
        <v>24</v>
      </c>
      <c r="G10" s="7" t="s">
        <v>25</v>
      </c>
      <c r="H10" s="7" t="s">
        <v>26</v>
      </c>
      <c r="I10" s="7" t="s">
        <v>105</v>
      </c>
      <c r="J10" s="17">
        <v>46191</v>
      </c>
      <c r="K10" s="17">
        <v>46190</v>
      </c>
      <c r="L10" s="17" t="s">
        <v>113</v>
      </c>
      <c r="M10" s="17">
        <v>46198</v>
      </c>
      <c r="N10" s="20">
        <f t="shared" si="0"/>
        <v>46195</v>
      </c>
      <c r="O10" s="17">
        <v>46199</v>
      </c>
      <c r="P10" s="46">
        <v>4</v>
      </c>
      <c r="Q10" s="17" t="s">
        <v>118</v>
      </c>
      <c r="R10" s="17" t="s">
        <v>128</v>
      </c>
    </row>
    <row r="11" spans="1:29" x14ac:dyDescent="0.2">
      <c r="A11" s="5">
        <v>6</v>
      </c>
      <c r="B11" s="5" t="s">
        <v>29</v>
      </c>
      <c r="C11" s="6" t="s">
        <v>30</v>
      </c>
      <c r="D11" s="6" t="s">
        <v>10</v>
      </c>
      <c r="E11" s="5" t="s">
        <v>23</v>
      </c>
      <c r="F11" s="5" t="s">
        <v>24</v>
      </c>
      <c r="G11" s="7" t="s">
        <v>25</v>
      </c>
      <c r="H11" s="7" t="s">
        <v>26</v>
      </c>
      <c r="I11" s="7" t="s">
        <v>105</v>
      </c>
      <c r="J11" s="17">
        <v>46192</v>
      </c>
      <c r="K11" s="17">
        <v>46193</v>
      </c>
      <c r="L11" s="17" t="s">
        <v>113</v>
      </c>
      <c r="M11" s="17">
        <v>46199</v>
      </c>
      <c r="N11" s="20">
        <f t="shared" si="0"/>
        <v>46198</v>
      </c>
      <c r="O11" s="17">
        <v>46199</v>
      </c>
      <c r="P11" s="46">
        <v>4</v>
      </c>
      <c r="Q11" s="17" t="s">
        <v>118</v>
      </c>
      <c r="R11" s="17" t="s">
        <v>128</v>
      </c>
    </row>
    <row r="12" spans="1:29" x14ac:dyDescent="0.2">
      <c r="A12" s="5">
        <v>7</v>
      </c>
      <c r="B12" s="5" t="s">
        <v>31</v>
      </c>
      <c r="C12" s="6" t="s">
        <v>32</v>
      </c>
      <c r="D12" s="6" t="s">
        <v>17</v>
      </c>
      <c r="E12" s="5" t="s">
        <v>23</v>
      </c>
      <c r="F12" s="5" t="s">
        <v>24</v>
      </c>
      <c r="G12" s="7" t="s">
        <v>25</v>
      </c>
      <c r="H12" s="7" t="s">
        <v>26</v>
      </c>
      <c r="I12" s="7" t="s">
        <v>105</v>
      </c>
      <c r="J12" s="17">
        <v>46193</v>
      </c>
      <c r="K12" s="17">
        <v>46193</v>
      </c>
      <c r="L12" s="17" t="s">
        <v>113</v>
      </c>
      <c r="M12" s="17">
        <v>46200</v>
      </c>
      <c r="N12" s="20">
        <f t="shared" si="0"/>
        <v>46198</v>
      </c>
      <c r="O12" s="17">
        <v>46199</v>
      </c>
      <c r="P12" s="46">
        <v>4</v>
      </c>
      <c r="Q12" s="17" t="s">
        <v>118</v>
      </c>
      <c r="R12" s="17" t="s">
        <v>128</v>
      </c>
    </row>
    <row r="13" spans="1:29" x14ac:dyDescent="0.2">
      <c r="A13" s="5">
        <v>8</v>
      </c>
      <c r="B13" s="5" t="s">
        <v>33</v>
      </c>
      <c r="C13" s="6" t="s">
        <v>34</v>
      </c>
      <c r="D13" s="6" t="s">
        <v>17</v>
      </c>
      <c r="E13" s="5" t="s">
        <v>23</v>
      </c>
      <c r="F13" s="5" t="s">
        <v>24</v>
      </c>
      <c r="G13" s="7" t="s">
        <v>35</v>
      </c>
      <c r="H13" s="7" t="s">
        <v>36</v>
      </c>
      <c r="I13" s="7" t="s">
        <v>106</v>
      </c>
      <c r="J13" s="17">
        <v>46197</v>
      </c>
      <c r="K13" s="17">
        <v>46195</v>
      </c>
      <c r="L13" s="17" t="s">
        <v>113</v>
      </c>
      <c r="M13" s="17">
        <v>46204</v>
      </c>
      <c r="N13" s="17"/>
      <c r="O13" s="17"/>
      <c r="P13" s="46"/>
      <c r="Q13" s="17" t="s">
        <v>119</v>
      </c>
      <c r="R13" s="17"/>
    </row>
    <row r="14" spans="1:29" x14ac:dyDescent="0.2">
      <c r="A14" s="5">
        <v>9</v>
      </c>
      <c r="B14" s="5" t="s">
        <v>37</v>
      </c>
      <c r="C14" s="6" t="s">
        <v>38</v>
      </c>
      <c r="D14" s="6" t="s">
        <v>17</v>
      </c>
      <c r="E14" s="5" t="s">
        <v>23</v>
      </c>
      <c r="F14" s="5" t="s">
        <v>24</v>
      </c>
      <c r="G14" s="7" t="s">
        <v>35</v>
      </c>
      <c r="H14" s="7" t="s">
        <v>36</v>
      </c>
      <c r="I14" s="7" t="s">
        <v>106</v>
      </c>
      <c r="J14" s="17">
        <v>46197</v>
      </c>
      <c r="K14" s="17">
        <v>46196</v>
      </c>
      <c r="L14" s="17" t="s">
        <v>113</v>
      </c>
      <c r="M14" s="17">
        <v>46205</v>
      </c>
      <c r="N14" s="17"/>
      <c r="O14" s="17"/>
      <c r="P14" s="46"/>
      <c r="Q14" s="17" t="s">
        <v>119</v>
      </c>
      <c r="R14" s="17"/>
    </row>
    <row r="15" spans="1:29" x14ac:dyDescent="0.2">
      <c r="A15" s="5">
        <v>10</v>
      </c>
      <c r="B15" s="5" t="s">
        <v>39</v>
      </c>
      <c r="C15" s="6" t="s">
        <v>40</v>
      </c>
      <c r="D15" s="6" t="s">
        <v>17</v>
      </c>
      <c r="E15" s="5" t="s">
        <v>23</v>
      </c>
      <c r="F15" s="5" t="s">
        <v>41</v>
      </c>
      <c r="G15" s="7" t="s">
        <v>35</v>
      </c>
      <c r="H15" s="7" t="s">
        <v>36</v>
      </c>
      <c r="I15" s="7" t="s">
        <v>106</v>
      </c>
      <c r="J15" s="17">
        <v>46198</v>
      </c>
      <c r="K15" s="17">
        <v>46196</v>
      </c>
      <c r="L15" s="17" t="s">
        <v>113</v>
      </c>
      <c r="M15" s="17">
        <v>46206</v>
      </c>
      <c r="N15" s="17"/>
      <c r="O15" s="17"/>
      <c r="P15" s="46"/>
      <c r="Q15" s="17" t="s">
        <v>119</v>
      </c>
      <c r="R15" s="17"/>
    </row>
    <row r="16" spans="1:29" x14ac:dyDescent="0.2">
      <c r="A16" s="5">
        <v>11</v>
      </c>
      <c r="B16" s="5" t="s">
        <v>42</v>
      </c>
      <c r="C16" s="6" t="s">
        <v>43</v>
      </c>
      <c r="D16" s="6" t="s">
        <v>17</v>
      </c>
      <c r="E16" s="5" t="s">
        <v>23</v>
      </c>
      <c r="F16" s="5" t="s">
        <v>41</v>
      </c>
      <c r="G16" s="7" t="s">
        <v>35</v>
      </c>
      <c r="H16" s="7" t="s">
        <v>36</v>
      </c>
      <c r="I16" s="7" t="s">
        <v>106</v>
      </c>
      <c r="J16" s="17">
        <v>46199</v>
      </c>
      <c r="K16" s="17">
        <v>46197</v>
      </c>
      <c r="L16" s="17" t="s">
        <v>113</v>
      </c>
      <c r="M16" s="17">
        <v>46207</v>
      </c>
      <c r="N16" s="17"/>
      <c r="O16" s="17"/>
      <c r="P16" s="46"/>
      <c r="Q16" s="17" t="s">
        <v>119</v>
      </c>
      <c r="R16" s="17"/>
    </row>
    <row r="17" spans="1:18" x14ac:dyDescent="0.2">
      <c r="A17" s="5">
        <v>12</v>
      </c>
      <c r="B17" s="5" t="s">
        <v>44</v>
      </c>
      <c r="C17" s="6" t="s">
        <v>45</v>
      </c>
      <c r="D17" s="6" t="s">
        <v>17</v>
      </c>
      <c r="E17" s="5" t="s">
        <v>23</v>
      </c>
      <c r="F17" s="5" t="s">
        <v>41</v>
      </c>
      <c r="G17" s="7" t="s">
        <v>35</v>
      </c>
      <c r="H17" s="7" t="s">
        <v>36</v>
      </c>
      <c r="I17" s="7" t="s">
        <v>106</v>
      </c>
      <c r="J17" s="17">
        <v>46200</v>
      </c>
      <c r="K17" s="17">
        <v>46198</v>
      </c>
      <c r="L17" s="17" t="s">
        <v>113</v>
      </c>
      <c r="M17" s="17">
        <v>46209</v>
      </c>
      <c r="N17" s="17"/>
      <c r="O17" s="17"/>
      <c r="P17" s="46"/>
      <c r="Q17" s="17" t="s">
        <v>119</v>
      </c>
      <c r="R17" s="17"/>
    </row>
    <row r="18" spans="1:18" x14ac:dyDescent="0.2">
      <c r="A18" s="5">
        <v>13</v>
      </c>
      <c r="B18" s="5" t="s">
        <v>46</v>
      </c>
      <c r="C18" s="6" t="s">
        <v>47</v>
      </c>
      <c r="D18" s="6" t="s">
        <v>17</v>
      </c>
      <c r="E18" s="5" t="s">
        <v>23</v>
      </c>
      <c r="F18" s="5" t="s">
        <v>41</v>
      </c>
      <c r="G18" s="7" t="s">
        <v>48</v>
      </c>
      <c r="H18" s="7" t="s">
        <v>49</v>
      </c>
      <c r="I18" s="7" t="s">
        <v>107</v>
      </c>
      <c r="J18" s="17">
        <v>46204</v>
      </c>
      <c r="K18" s="17" t="s">
        <v>116</v>
      </c>
      <c r="L18" s="17" t="s">
        <v>116</v>
      </c>
      <c r="M18" s="17">
        <v>46211</v>
      </c>
      <c r="N18" s="17"/>
      <c r="O18" s="17"/>
      <c r="P18" s="46"/>
      <c r="Q18" s="17"/>
      <c r="R18" s="17"/>
    </row>
    <row r="19" spans="1:18" x14ac:dyDescent="0.2">
      <c r="A19" s="5">
        <v>14</v>
      </c>
      <c r="B19" s="5" t="s">
        <v>50</v>
      </c>
      <c r="C19" s="6" t="s">
        <v>51</v>
      </c>
      <c r="D19" s="6" t="s">
        <v>17</v>
      </c>
      <c r="E19" s="5" t="s">
        <v>23</v>
      </c>
      <c r="F19" s="5" t="s">
        <v>41</v>
      </c>
      <c r="G19" s="7" t="s">
        <v>48</v>
      </c>
      <c r="H19" s="7" t="s">
        <v>49</v>
      </c>
      <c r="I19" s="7" t="s">
        <v>107</v>
      </c>
      <c r="J19" s="17">
        <v>46205</v>
      </c>
      <c r="K19" s="17" t="s">
        <v>116</v>
      </c>
      <c r="L19" s="17" t="s">
        <v>116</v>
      </c>
      <c r="M19" s="17">
        <v>46212</v>
      </c>
      <c r="N19" s="17"/>
      <c r="O19" s="17"/>
      <c r="P19" s="46"/>
      <c r="Q19" s="17"/>
      <c r="R19" s="17"/>
    </row>
    <row r="20" spans="1:18" x14ac:dyDescent="0.2">
      <c r="A20" s="5">
        <v>15</v>
      </c>
      <c r="B20" s="5" t="s">
        <v>52</v>
      </c>
      <c r="C20" s="6" t="s">
        <v>53</v>
      </c>
      <c r="D20" s="6" t="s">
        <v>17</v>
      </c>
      <c r="E20" s="5" t="s">
        <v>23</v>
      </c>
      <c r="F20" s="5" t="s">
        <v>41</v>
      </c>
      <c r="G20" s="7" t="s">
        <v>48</v>
      </c>
      <c r="H20" s="7" t="s">
        <v>49</v>
      </c>
      <c r="I20" s="7" t="s">
        <v>107</v>
      </c>
      <c r="J20" s="17">
        <v>46206</v>
      </c>
      <c r="K20" s="17" t="s">
        <v>116</v>
      </c>
      <c r="L20" s="17" t="s">
        <v>116</v>
      </c>
      <c r="M20" s="17">
        <v>46213</v>
      </c>
      <c r="N20" s="17"/>
      <c r="O20" s="17"/>
      <c r="P20" s="46"/>
      <c r="Q20" s="17"/>
      <c r="R20" s="17"/>
    </row>
    <row r="21" spans="1:18" x14ac:dyDescent="0.2">
      <c r="A21" s="8">
        <v>16</v>
      </c>
      <c r="B21" s="8" t="s">
        <v>54</v>
      </c>
      <c r="C21" s="9" t="s">
        <v>55</v>
      </c>
      <c r="D21" s="9" t="s">
        <v>22</v>
      </c>
      <c r="E21" s="8" t="s">
        <v>56</v>
      </c>
      <c r="F21" s="8" t="s">
        <v>41</v>
      </c>
      <c r="G21" s="10" t="s">
        <v>48</v>
      </c>
      <c r="H21" s="10" t="s">
        <v>49</v>
      </c>
      <c r="I21" s="10" t="s">
        <v>107</v>
      </c>
      <c r="J21" s="18">
        <v>46207</v>
      </c>
      <c r="K21" s="18" t="s">
        <v>114</v>
      </c>
      <c r="L21" s="18" t="s">
        <v>114</v>
      </c>
      <c r="M21" s="18">
        <v>46214</v>
      </c>
      <c r="N21" s="18"/>
      <c r="O21" s="18"/>
      <c r="P21" s="47"/>
      <c r="Q21" s="18"/>
      <c r="R21" s="18"/>
    </row>
    <row r="22" spans="1:18" x14ac:dyDescent="0.2">
      <c r="A22" s="8">
        <v>17</v>
      </c>
      <c r="B22" s="8" t="s">
        <v>57</v>
      </c>
      <c r="C22" s="9" t="s">
        <v>58</v>
      </c>
      <c r="D22" s="9" t="s">
        <v>22</v>
      </c>
      <c r="E22" s="8" t="s">
        <v>56</v>
      </c>
      <c r="F22" s="8" t="s">
        <v>41</v>
      </c>
      <c r="G22" s="10" t="s">
        <v>59</v>
      </c>
      <c r="H22" s="10" t="s">
        <v>60</v>
      </c>
      <c r="I22" s="10" t="s">
        <v>108</v>
      </c>
      <c r="J22" s="18">
        <v>46210</v>
      </c>
      <c r="K22" s="18" t="s">
        <v>114</v>
      </c>
      <c r="L22" s="18" t="s">
        <v>114</v>
      </c>
      <c r="M22" s="18">
        <v>46217</v>
      </c>
      <c r="N22" s="18"/>
      <c r="O22" s="18"/>
      <c r="P22" s="47"/>
      <c r="Q22" s="18"/>
      <c r="R22" s="18"/>
    </row>
    <row r="23" spans="1:18" x14ac:dyDescent="0.2">
      <c r="A23" s="8">
        <v>18</v>
      </c>
      <c r="B23" s="8" t="s">
        <v>61</v>
      </c>
      <c r="C23" s="9" t="s">
        <v>62</v>
      </c>
      <c r="D23" s="9" t="s">
        <v>22</v>
      </c>
      <c r="E23" s="8" t="s">
        <v>56</v>
      </c>
      <c r="F23" s="8" t="s">
        <v>41</v>
      </c>
      <c r="G23" s="10" t="s">
        <v>59</v>
      </c>
      <c r="H23" s="10" t="s">
        <v>60</v>
      </c>
      <c r="I23" s="10" t="s">
        <v>108</v>
      </c>
      <c r="J23" s="18">
        <v>46211</v>
      </c>
      <c r="K23" s="18" t="s">
        <v>114</v>
      </c>
      <c r="L23" s="18" t="s">
        <v>114</v>
      </c>
      <c r="M23" s="18">
        <v>46218</v>
      </c>
      <c r="N23" s="18"/>
      <c r="O23" s="18"/>
      <c r="P23" s="47"/>
      <c r="Q23" s="18"/>
      <c r="R23" s="18"/>
    </row>
    <row r="24" spans="1:18" x14ac:dyDescent="0.2">
      <c r="A24" s="8">
        <v>19</v>
      </c>
      <c r="B24" s="8" t="s">
        <v>63</v>
      </c>
      <c r="C24" s="9" t="s">
        <v>64</v>
      </c>
      <c r="D24" s="9" t="s">
        <v>22</v>
      </c>
      <c r="E24" s="8" t="s">
        <v>56</v>
      </c>
      <c r="F24" s="8" t="s">
        <v>41</v>
      </c>
      <c r="G24" s="10" t="s">
        <v>59</v>
      </c>
      <c r="H24" s="10" t="s">
        <v>60</v>
      </c>
      <c r="I24" s="10" t="s">
        <v>108</v>
      </c>
      <c r="J24" s="18">
        <v>46212</v>
      </c>
      <c r="K24" s="18" t="s">
        <v>114</v>
      </c>
      <c r="L24" s="18" t="s">
        <v>114</v>
      </c>
      <c r="M24" s="18">
        <v>46219</v>
      </c>
      <c r="N24" s="18"/>
      <c r="O24" s="18"/>
      <c r="P24" s="47"/>
      <c r="Q24" s="18"/>
      <c r="R24" s="18"/>
    </row>
    <row r="25" spans="1:18" x14ac:dyDescent="0.2">
      <c r="A25" s="8">
        <v>20</v>
      </c>
      <c r="B25" s="8" t="s">
        <v>65</v>
      </c>
      <c r="C25" s="9" t="s">
        <v>66</v>
      </c>
      <c r="D25" s="9" t="s">
        <v>22</v>
      </c>
      <c r="E25" s="8" t="s">
        <v>56</v>
      </c>
      <c r="F25" s="8" t="s">
        <v>41</v>
      </c>
      <c r="G25" s="10" t="s">
        <v>59</v>
      </c>
      <c r="H25" s="10" t="s">
        <v>60</v>
      </c>
      <c r="I25" s="10" t="s">
        <v>108</v>
      </c>
      <c r="J25" s="18">
        <v>46223</v>
      </c>
      <c r="K25" s="18" t="s">
        <v>114</v>
      </c>
      <c r="L25" s="18" t="s">
        <v>114</v>
      </c>
      <c r="M25" s="18">
        <v>46220</v>
      </c>
      <c r="N25" s="18"/>
      <c r="O25" s="18"/>
      <c r="P25" s="47"/>
      <c r="Q25" s="18"/>
      <c r="R25" s="18"/>
    </row>
    <row r="26" spans="1:18" x14ac:dyDescent="0.2">
      <c r="A26" s="11">
        <v>21</v>
      </c>
      <c r="B26" s="11" t="s">
        <v>67</v>
      </c>
      <c r="C26" s="12" t="s">
        <v>68</v>
      </c>
      <c r="D26" s="12" t="s">
        <v>22</v>
      </c>
      <c r="E26" s="11" t="s">
        <v>69</v>
      </c>
      <c r="F26" s="11" t="s">
        <v>70</v>
      </c>
      <c r="G26" s="11" t="s">
        <v>71</v>
      </c>
      <c r="H26" s="11" t="s">
        <v>72</v>
      </c>
      <c r="I26" s="11">
        <v>7</v>
      </c>
      <c r="J26" s="19">
        <v>46217</v>
      </c>
      <c r="K26" s="19" t="s">
        <v>114</v>
      </c>
      <c r="L26" s="19" t="s">
        <v>114</v>
      </c>
      <c r="M26" s="19">
        <v>46224</v>
      </c>
      <c r="N26" s="19"/>
      <c r="O26" s="19"/>
      <c r="P26" s="48"/>
      <c r="Q26" s="19"/>
      <c r="R26" s="19"/>
    </row>
    <row r="27" spans="1:18" x14ac:dyDescent="0.2">
      <c r="A27" s="11">
        <v>22</v>
      </c>
      <c r="B27" s="11" t="s">
        <v>73</v>
      </c>
      <c r="C27" s="12" t="s">
        <v>74</v>
      </c>
      <c r="D27" s="12" t="s">
        <v>22</v>
      </c>
      <c r="E27" s="11" t="s">
        <v>69</v>
      </c>
      <c r="F27" s="11" t="s">
        <v>70</v>
      </c>
      <c r="G27" s="11" t="s">
        <v>71</v>
      </c>
      <c r="H27" s="11" t="s">
        <v>72</v>
      </c>
      <c r="I27" s="11">
        <v>7</v>
      </c>
      <c r="J27" s="19">
        <v>46218</v>
      </c>
      <c r="K27" s="19" t="s">
        <v>114</v>
      </c>
      <c r="L27" s="19" t="s">
        <v>114</v>
      </c>
      <c r="M27" s="19">
        <v>46225</v>
      </c>
      <c r="N27" s="19"/>
      <c r="O27" s="19"/>
      <c r="P27" s="48"/>
      <c r="Q27" s="19"/>
      <c r="R27" s="19"/>
    </row>
    <row r="28" spans="1:18" ht="30" x14ac:dyDescent="0.2">
      <c r="A28" s="11">
        <v>23</v>
      </c>
      <c r="B28" s="11" t="s">
        <v>75</v>
      </c>
      <c r="C28" s="12" t="s">
        <v>76</v>
      </c>
      <c r="D28" s="12" t="s">
        <v>22</v>
      </c>
      <c r="E28" s="11" t="s">
        <v>69</v>
      </c>
      <c r="F28" s="11" t="s">
        <v>77</v>
      </c>
      <c r="G28" s="11" t="s">
        <v>71</v>
      </c>
      <c r="H28" s="11" t="s">
        <v>72</v>
      </c>
      <c r="I28" s="11">
        <v>7</v>
      </c>
      <c r="J28" s="19">
        <v>46219</v>
      </c>
      <c r="K28" s="19" t="s">
        <v>114</v>
      </c>
      <c r="L28" s="19" t="s">
        <v>114</v>
      </c>
      <c r="M28" s="19">
        <v>46226</v>
      </c>
      <c r="N28" s="19"/>
      <c r="O28" s="19"/>
      <c r="P28" s="48"/>
      <c r="Q28" s="19"/>
      <c r="R28" s="19"/>
    </row>
  </sheetData>
  <dataValidations count="2">
    <dataValidation type="list" allowBlank="1" sqref="Q6:Q28" xr:uid="{8B7D1E6D-84A6-2346-9BA1-D1BB4A4C45F9}">
      <formula1>"Pendiente,Aceptado,Rechazado"</formula1>
    </dataValidation>
    <dataValidation type="list" allowBlank="1" sqref="R6:R12" xr:uid="{A422915D-3043-714D-87A0-978F11E7E7A2}">
      <formula1>"Sí,No,N/A"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0673-932D-E54C-82BA-B195B1525F65}">
  <dimension ref="A1:F1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8" style="24" customWidth="1"/>
    <col min="2" max="2" width="14.83203125" style="24" customWidth="1"/>
    <col min="3" max="3" width="24" style="24" customWidth="1"/>
    <col min="4" max="4" width="18" style="24" customWidth="1"/>
    <col min="5" max="5" width="14" style="24" customWidth="1"/>
    <col min="6" max="6" width="48" style="24" customWidth="1"/>
    <col min="7" max="16384" width="8.83203125" style="24"/>
  </cols>
  <sheetData>
    <row r="1" spans="1:6" ht="20" x14ac:dyDescent="0.25">
      <c r="A1" s="22" t="s">
        <v>82</v>
      </c>
      <c r="B1" s="23"/>
      <c r="C1" s="23"/>
      <c r="D1" s="23"/>
      <c r="E1" s="23"/>
      <c r="F1" s="23"/>
    </row>
    <row r="2" spans="1:6" x14ac:dyDescent="0.2">
      <c r="A2" s="25" t="s">
        <v>83</v>
      </c>
      <c r="B2" s="23"/>
      <c r="C2" s="23"/>
      <c r="D2" s="23"/>
      <c r="E2" s="23"/>
      <c r="F2" s="23"/>
    </row>
    <row r="3" spans="1:6" x14ac:dyDescent="0.2">
      <c r="A3" s="25" t="s">
        <v>84</v>
      </c>
      <c r="B3" s="23"/>
      <c r="C3" s="23"/>
      <c r="D3" s="23"/>
      <c r="E3" s="23"/>
      <c r="F3" s="23"/>
    </row>
    <row r="5" spans="1:6" ht="42" customHeight="1" x14ac:dyDescent="0.2">
      <c r="A5" s="26" t="s">
        <v>85</v>
      </c>
      <c r="B5" s="26" t="s">
        <v>86</v>
      </c>
      <c r="C5" s="26" t="s">
        <v>182</v>
      </c>
      <c r="D5" s="26" t="s">
        <v>183</v>
      </c>
      <c r="E5" s="26" t="s">
        <v>87</v>
      </c>
      <c r="F5" s="26" t="s">
        <v>88</v>
      </c>
    </row>
    <row r="6" spans="1:6" x14ac:dyDescent="0.2">
      <c r="A6" s="27" t="s">
        <v>89</v>
      </c>
      <c r="B6" s="27" t="s">
        <v>90</v>
      </c>
      <c r="C6" s="27">
        <v>0</v>
      </c>
      <c r="D6" s="27">
        <v>23</v>
      </c>
      <c r="E6" s="27" t="s">
        <v>91</v>
      </c>
      <c r="F6" s="39" t="s">
        <v>92</v>
      </c>
    </row>
    <row r="7" spans="1:6" x14ac:dyDescent="0.2">
      <c r="A7" s="27" t="s">
        <v>93</v>
      </c>
      <c r="B7" s="27" t="s">
        <v>185</v>
      </c>
      <c r="C7" s="27">
        <v>0</v>
      </c>
      <c r="D7" s="27">
        <f>$D$6-C7</f>
        <v>23</v>
      </c>
      <c r="E7" s="27" t="s">
        <v>94</v>
      </c>
      <c r="F7" s="39" t="s">
        <v>95</v>
      </c>
    </row>
    <row r="8" spans="1:6" x14ac:dyDescent="0.2">
      <c r="A8" s="27" t="s">
        <v>96</v>
      </c>
      <c r="B8" s="27" t="s">
        <v>186</v>
      </c>
      <c r="C8" s="27">
        <v>3</v>
      </c>
      <c r="D8" s="27">
        <f t="shared" ref="D8:D13" si="0">$D$6-C8</f>
        <v>20</v>
      </c>
      <c r="E8" s="35">
        <f>1-(1/23)</f>
        <v>0.95652173913043481</v>
      </c>
      <c r="F8" s="39" t="s">
        <v>120</v>
      </c>
    </row>
    <row r="9" spans="1:6" x14ac:dyDescent="0.2">
      <c r="A9" s="28" t="s">
        <v>97</v>
      </c>
      <c r="B9" s="28" t="s">
        <v>187</v>
      </c>
      <c r="C9" s="28">
        <v>7</v>
      </c>
      <c r="D9" s="30">
        <f t="shared" si="0"/>
        <v>16</v>
      </c>
      <c r="E9" s="37">
        <v>0.95652173913043481</v>
      </c>
      <c r="F9" s="38" t="s">
        <v>121</v>
      </c>
    </row>
    <row r="10" spans="1:6" x14ac:dyDescent="0.2">
      <c r="A10" s="29" t="s">
        <v>98</v>
      </c>
      <c r="B10" s="29" t="s">
        <v>188</v>
      </c>
      <c r="C10" s="29"/>
      <c r="D10" s="27">
        <v>11</v>
      </c>
      <c r="E10" s="36">
        <v>0.95652173913043481</v>
      </c>
      <c r="F10" s="39" t="s">
        <v>122</v>
      </c>
    </row>
    <row r="11" spans="1:6" x14ac:dyDescent="0.2">
      <c r="A11" s="29" t="s">
        <v>99</v>
      </c>
      <c r="B11" s="29" t="s">
        <v>189</v>
      </c>
      <c r="C11" s="29"/>
      <c r="D11" s="27">
        <v>7</v>
      </c>
      <c r="E11" s="36">
        <v>0.95652173913043481</v>
      </c>
      <c r="F11" s="39" t="s">
        <v>123</v>
      </c>
    </row>
    <row r="12" spans="1:6" x14ac:dyDescent="0.2">
      <c r="A12" s="29" t="s">
        <v>100</v>
      </c>
      <c r="B12" s="29" t="s">
        <v>190</v>
      </c>
      <c r="C12" s="29"/>
      <c r="D12" s="27">
        <v>4</v>
      </c>
      <c r="E12" s="36">
        <v>0.95652173913043481</v>
      </c>
      <c r="F12" s="39" t="s">
        <v>124</v>
      </c>
    </row>
    <row r="13" spans="1:6" x14ac:dyDescent="0.2">
      <c r="A13" s="29" t="s">
        <v>101</v>
      </c>
      <c r="B13" s="29" t="s">
        <v>192</v>
      </c>
      <c r="C13" s="29"/>
      <c r="D13" s="27">
        <v>3</v>
      </c>
      <c r="E13" s="36">
        <v>0.95652173913043481</v>
      </c>
      <c r="F13" s="39" t="s">
        <v>102</v>
      </c>
    </row>
    <row r="14" spans="1:6" x14ac:dyDescent="0.2">
      <c r="A14" s="29" t="s">
        <v>191</v>
      </c>
      <c r="B14" s="29" t="s">
        <v>193</v>
      </c>
      <c r="C14" s="29"/>
      <c r="D14" s="27">
        <v>0</v>
      </c>
      <c r="E14" s="36"/>
      <c r="F14" s="39"/>
    </row>
    <row r="16" spans="1:6" ht="28" customHeight="1" x14ac:dyDescent="0.2">
      <c r="A16" s="25" t="s">
        <v>125</v>
      </c>
      <c r="B16" s="23"/>
      <c r="C16" s="23"/>
      <c r="D16" s="23"/>
      <c r="E16" s="23"/>
      <c r="F16" s="23"/>
    </row>
  </sheetData>
  <mergeCells count="4">
    <mergeCell ref="A1:F1"/>
    <mergeCell ref="A2:F2"/>
    <mergeCell ref="A3:F3"/>
    <mergeCell ref="A16:F16"/>
  </mergeCells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82BC-A0DC-254D-9440-0B824307FCE4}">
  <dimension ref="A1:L21"/>
  <sheetViews>
    <sheetView workbookViewId="0">
      <selection activeCell="A10" sqref="A10"/>
    </sheetView>
  </sheetViews>
  <sheetFormatPr baseColWidth="10" defaultRowHeight="16" x14ac:dyDescent="0.2"/>
  <cols>
    <col min="1" max="1" width="7" bestFit="1" customWidth="1"/>
    <col min="2" max="2" width="13.5" bestFit="1" customWidth="1"/>
    <col min="3" max="3" width="6.6640625" bestFit="1" customWidth="1"/>
    <col min="4" max="4" width="37" bestFit="1" customWidth="1"/>
    <col min="5" max="5" width="8.83203125" bestFit="1" customWidth="1"/>
    <col min="6" max="6" width="10.5" bestFit="1" customWidth="1"/>
    <col min="7" max="7" width="30.1640625" bestFit="1" customWidth="1"/>
    <col min="8" max="8" width="13.83203125" bestFit="1" customWidth="1"/>
    <col min="9" max="9" width="7.1640625" bestFit="1" customWidth="1"/>
    <col min="10" max="10" width="12.33203125" bestFit="1" customWidth="1"/>
    <col min="11" max="11" width="13.5" bestFit="1" customWidth="1"/>
    <col min="12" max="12" width="38" customWidth="1"/>
  </cols>
  <sheetData>
    <row r="1" spans="1:12" ht="20" x14ac:dyDescent="0.25">
      <c r="A1" s="40" t="s">
        <v>184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x14ac:dyDescent="0.2">
      <c r="A2" s="41" t="s">
        <v>129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" x14ac:dyDescent="0.2">
      <c r="A3" s="4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5" x14ac:dyDescent="0.2"/>
    <row r="5" spans="1:12" ht="42" customHeight="1" x14ac:dyDescent="0.2">
      <c r="A5" s="1" t="s">
        <v>1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J5" s="1" t="s">
        <v>138</v>
      </c>
      <c r="K5" s="1" t="s">
        <v>139</v>
      </c>
      <c r="L5" s="1" t="s">
        <v>140</v>
      </c>
    </row>
    <row r="6" spans="1:12" ht="30" x14ac:dyDescent="0.2">
      <c r="A6" s="34" t="s">
        <v>141</v>
      </c>
      <c r="B6" s="34" t="s">
        <v>142</v>
      </c>
      <c r="C6" s="34" t="s">
        <v>8</v>
      </c>
      <c r="D6" s="42" t="s">
        <v>143</v>
      </c>
      <c r="E6" s="8" t="s">
        <v>70</v>
      </c>
      <c r="F6" s="34" t="s">
        <v>144</v>
      </c>
      <c r="G6" s="42" t="s">
        <v>145</v>
      </c>
      <c r="H6" s="34" t="s">
        <v>142</v>
      </c>
      <c r="I6" s="34" t="s">
        <v>146</v>
      </c>
      <c r="J6" s="34" t="s">
        <v>127</v>
      </c>
      <c r="K6" s="34" t="s">
        <v>173</v>
      </c>
      <c r="L6" s="42" t="s">
        <v>147</v>
      </c>
    </row>
    <row r="7" spans="1:12" ht="30" x14ac:dyDescent="0.2">
      <c r="A7" s="34" t="s">
        <v>148</v>
      </c>
      <c r="B7" s="34" t="s">
        <v>142</v>
      </c>
      <c r="C7" s="34" t="s">
        <v>8</v>
      </c>
      <c r="D7" s="42" t="s">
        <v>176</v>
      </c>
      <c r="E7" s="44" t="s">
        <v>24</v>
      </c>
      <c r="F7" s="34" t="s">
        <v>144</v>
      </c>
      <c r="G7" s="42" t="s">
        <v>177</v>
      </c>
      <c r="H7" s="34" t="s">
        <v>149</v>
      </c>
      <c r="I7" s="34" t="s">
        <v>178</v>
      </c>
      <c r="J7" s="34" t="s">
        <v>179</v>
      </c>
      <c r="K7" s="34" t="s">
        <v>173</v>
      </c>
      <c r="L7" s="42" t="s">
        <v>180</v>
      </c>
    </row>
    <row r="8" spans="1:12" x14ac:dyDescent="0.2">
      <c r="A8" s="34" t="s">
        <v>156</v>
      </c>
      <c r="B8" s="34" t="s">
        <v>149</v>
      </c>
      <c r="C8" s="34" t="s">
        <v>91</v>
      </c>
      <c r="D8" s="42" t="s">
        <v>150</v>
      </c>
      <c r="E8" s="8" t="s">
        <v>70</v>
      </c>
      <c r="F8" s="34" t="s">
        <v>151</v>
      </c>
      <c r="G8" s="42" t="s">
        <v>152</v>
      </c>
      <c r="H8" s="34" t="s">
        <v>153</v>
      </c>
      <c r="I8" s="34" t="s">
        <v>154</v>
      </c>
      <c r="J8" s="34" t="s">
        <v>127</v>
      </c>
      <c r="K8" s="34" t="s">
        <v>173</v>
      </c>
      <c r="L8" s="42" t="s">
        <v>155</v>
      </c>
    </row>
    <row r="9" spans="1:12" x14ac:dyDescent="0.2">
      <c r="A9" s="34" t="s">
        <v>175</v>
      </c>
      <c r="B9" s="34" t="s">
        <v>157</v>
      </c>
      <c r="C9" s="34" t="s">
        <v>18</v>
      </c>
      <c r="D9" s="42" t="s">
        <v>158</v>
      </c>
      <c r="E9" s="8" t="s">
        <v>70</v>
      </c>
      <c r="F9" s="34" t="s">
        <v>159</v>
      </c>
      <c r="G9" s="42" t="s">
        <v>160</v>
      </c>
      <c r="H9" s="34" t="s">
        <v>161</v>
      </c>
      <c r="I9" s="34" t="s">
        <v>162</v>
      </c>
      <c r="J9" s="34" t="s">
        <v>127</v>
      </c>
      <c r="K9" s="34" t="s">
        <v>173</v>
      </c>
      <c r="L9" s="42" t="s">
        <v>163</v>
      </c>
    </row>
    <row r="10" spans="1:12" ht="30" x14ac:dyDescent="0.2">
      <c r="A10" s="5" t="s">
        <v>194</v>
      </c>
      <c r="B10" s="34" t="s">
        <v>170</v>
      </c>
      <c r="C10" s="34" t="s">
        <v>164</v>
      </c>
      <c r="D10" s="42" t="s">
        <v>171</v>
      </c>
      <c r="E10" s="11" t="s">
        <v>41</v>
      </c>
      <c r="F10" s="34" t="s">
        <v>165</v>
      </c>
      <c r="G10" s="42" t="s">
        <v>166</v>
      </c>
      <c r="H10" s="34" t="s">
        <v>169</v>
      </c>
      <c r="I10" s="34" t="s">
        <v>167</v>
      </c>
      <c r="J10" s="34" t="s">
        <v>127</v>
      </c>
      <c r="K10" s="34" t="s">
        <v>173</v>
      </c>
      <c r="L10" s="42" t="s">
        <v>168</v>
      </c>
    </row>
    <row r="11" spans="1:12" ht="15" x14ac:dyDescent="0.2"/>
    <row r="12" spans="1:12" ht="15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15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2" ht="15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 ht="15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ht="15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 ht="15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 ht="15" x14ac:dyDescent="0.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 ht="15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ht="15" x14ac:dyDescent="0.2"/>
    <row r="21" spans="1:12" ht="15" x14ac:dyDescent="0.2">
      <c r="A21" s="41" t="s">
        <v>174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</sheetData>
  <autoFilter ref="A5:L10" xr:uid="{AB3F82BC-A0DC-254D-9440-0B824307FCE4}"/>
  <mergeCells count="4">
    <mergeCell ref="A1:L1"/>
    <mergeCell ref="A2:L2"/>
    <mergeCell ref="A3:L3"/>
    <mergeCell ref="A21:L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Seguimeinto de Integ &amp; accept</vt:lpstr>
      <vt:lpstr>Burndown </vt:lpstr>
      <vt:lpstr>log de impedimentos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Ramirez</dc:creator>
  <cp:keywords/>
  <dc:description/>
  <cp:lastModifiedBy>Carlos Ramirez</cp:lastModifiedBy>
  <dcterms:created xsi:type="dcterms:W3CDTF">2026-06-28T05:36:49Z</dcterms:created>
  <dcterms:modified xsi:type="dcterms:W3CDTF">2026-07-02T05:00:40Z</dcterms:modified>
  <cp:category/>
</cp:coreProperties>
</file>