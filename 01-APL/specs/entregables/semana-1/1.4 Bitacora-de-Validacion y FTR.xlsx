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hidePivotFieldList="1"/>
  <mc:AlternateContent xmlns:mc="http://schemas.openxmlformats.org/markup-compatibility/2006">
    <mc:Choice Requires="x15">
      <x15ac:absPath xmlns:x15ac="http://schemas.microsoft.com/office/spreadsheetml/2010/11/ac" url="/Users/carlosemmanuelramirezcastanon/Library/Mobile Documents/com~apple~CloudDocs/Agile Project Leader/14. Proyecto PIDA/02. Entrega etapa 2/Delivery/Seguimiento/"/>
    </mc:Choice>
  </mc:AlternateContent>
  <xr:revisionPtr revIDLastSave="0" documentId="13_ncr:1_{D684BE8D-606C-D84A-9743-0DECBEF2B0E4}" xr6:coauthVersionLast="47" xr6:coauthVersionMax="47" xr10:uidLastSave="{00000000-0000-0000-0000-000000000000}"/>
  <bookViews>
    <workbookView xWindow="0" yWindow="780" windowWidth="36000" windowHeight="22600" activeTab="2" xr2:uid="{00000000-000D-0000-FFFF-FFFF00000000}"/>
  </bookViews>
  <sheets>
    <sheet name="Instrucciones" sheetId="3" r:id="rId1"/>
    <sheet name="Bitácora de Validación" sheetId="1" r:id="rId2"/>
    <sheet name="Resumen FTR" sheetId="2" r:id="rId3"/>
  </sheets>
  <externalReferences>
    <externalReference r:id="rId4"/>
  </externalReferences>
  <definedNames>
    <definedName name="_xlnm._FilterDatabase" localSheetId="1" hidden="1">'Bitácora de Validación'!$A$5:$N$121</definedName>
  </definedNames>
  <calcPr calcId="191029"/>
  <pivotCaches>
    <pivotCache cacheId="20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1" l="1"/>
  <c r="B50" i="1"/>
  <c r="B51" i="1"/>
  <c r="B52" i="1"/>
  <c r="B54" i="1"/>
  <c r="B55" i="1"/>
  <c r="B56" i="1"/>
  <c r="B57" i="1"/>
  <c r="B59" i="1"/>
  <c r="B60" i="1"/>
  <c r="B61" i="1"/>
  <c r="B62" i="1"/>
  <c r="B64" i="1"/>
  <c r="B65" i="1"/>
  <c r="B66" i="1"/>
  <c r="B67" i="1"/>
  <c r="B69" i="1"/>
  <c r="B70" i="1"/>
  <c r="B71" i="1"/>
  <c r="B72" i="1"/>
  <c r="B74" i="1"/>
  <c r="B75" i="1"/>
  <c r="B76" i="1"/>
  <c r="B77" i="1"/>
  <c r="B79" i="1"/>
  <c r="B80" i="1"/>
  <c r="B81" i="1"/>
  <c r="B82" i="1"/>
  <c r="B84" i="1"/>
  <c r="B85" i="1"/>
  <c r="B86" i="1"/>
  <c r="B87" i="1"/>
  <c r="B89" i="1"/>
  <c r="B90" i="1"/>
  <c r="B91" i="1"/>
  <c r="B92" i="1"/>
  <c r="B94" i="1"/>
  <c r="B95" i="1"/>
  <c r="B96" i="1"/>
  <c r="B97" i="1"/>
  <c r="B99" i="1"/>
  <c r="B100" i="1"/>
  <c r="B101" i="1"/>
  <c r="B102" i="1"/>
  <c r="B104" i="1"/>
  <c r="B105" i="1"/>
  <c r="B106" i="1"/>
  <c r="B107" i="1"/>
  <c r="B109" i="1"/>
  <c r="B110" i="1"/>
  <c r="B111" i="1"/>
  <c r="B112" i="1"/>
  <c r="B114" i="1"/>
  <c r="B115" i="1"/>
  <c r="B116" i="1"/>
  <c r="B117" i="1"/>
  <c r="B119" i="1"/>
  <c r="B120" i="1"/>
  <c r="B121" i="1"/>
  <c r="B8" i="1"/>
  <c r="B9" i="1"/>
  <c r="B10" i="1"/>
  <c r="B11" i="1"/>
  <c r="B13" i="1"/>
  <c r="B14" i="1"/>
  <c r="B15" i="1"/>
  <c r="B16" i="1"/>
  <c r="B18" i="1"/>
  <c r="B19" i="1"/>
  <c r="B20" i="1"/>
  <c r="B21" i="1"/>
  <c r="B23" i="1"/>
  <c r="B24" i="1"/>
  <c r="B25" i="1"/>
  <c r="B26" i="1"/>
  <c r="B28" i="1"/>
  <c r="B29" i="1"/>
  <c r="B30" i="1"/>
  <c r="B31" i="1"/>
  <c r="B33" i="1"/>
  <c r="B34" i="1"/>
  <c r="B35" i="1"/>
  <c r="B36" i="1"/>
  <c r="B38" i="1"/>
  <c r="B39" i="1"/>
  <c r="B40" i="1"/>
  <c r="B42" i="1"/>
  <c r="B44" i="1"/>
  <c r="B45" i="1"/>
  <c r="B46" i="1"/>
  <c r="B47" i="1"/>
  <c r="B6" i="1"/>
</calcChain>
</file>

<file path=xl/sharedStrings.xml><?xml version="1.0" encoding="utf-8"?>
<sst xmlns="http://schemas.openxmlformats.org/spreadsheetml/2006/main" count="971" uniqueCount="98">
  <si>
    <t>Bitácora de Validación de Aceptación — Telemóvil Costa Rica</t>
  </si>
  <si>
    <t>Validación semanal con las 5 áreas Telemóvil: RAN (Roberto), Planning (Marcela), Quality (Patricia), O&amp;M (Fernando), Acceptance (Ricardo Mendoza)</t>
  </si>
  <si>
    <t>Proyecto inicia 3 jun 2026. Golden Cluster: W2 (10-16 jun) con 3 sitios. Entregable Plan de Trabajo APL, fila 20.</t>
  </si>
  <si>
    <t>Semana</t>
  </si>
  <si>
    <t>Sitio (CR-XXX)</t>
  </si>
  <si>
    <t>Área Telemóvil</t>
  </si>
  <si>
    <t>Validador</t>
  </si>
  <si>
    <t>Criterio principal</t>
  </si>
  <si>
    <t>Cumplido (S/N)</t>
  </si>
  <si>
    <t>FTR</t>
  </si>
  <si>
    <t>Observación</t>
  </si>
  <si>
    <t>Acción de seguimiento</t>
  </si>
  <si>
    <t>Estado final</t>
  </si>
  <si>
    <t>CR-001</t>
  </si>
  <si>
    <t>RAN</t>
  </si>
  <si>
    <t>Roberto</t>
  </si>
  <si>
    <t>Template aplicado según diseño aprobado</t>
  </si>
  <si>
    <t>Quality</t>
  </si>
  <si>
    <t>Patricia</t>
  </si>
  <si>
    <t>KPIs cumplen estándares Telemóvil</t>
  </si>
  <si>
    <t>Acceptance</t>
  </si>
  <si>
    <t>Ricardo Mendoza</t>
  </si>
  <si>
    <t>SAD completo + sign-off formal</t>
  </si>
  <si>
    <t>CR-003</t>
  </si>
  <si>
    <t>CR-005</t>
  </si>
  <si>
    <t>Resumen de Aceptación por Sitio</t>
  </si>
  <si>
    <t>Sitio</t>
  </si>
  <si>
    <t>Semana plan</t>
  </si>
  <si>
    <t>O&amp;M</t>
  </si>
  <si>
    <t>Estado</t>
  </si>
  <si>
    <t>CR-014</t>
  </si>
  <si>
    <t>CR-019</t>
  </si>
  <si>
    <t>CR-002</t>
  </si>
  <si>
    <t>CR-004</t>
  </si>
  <si>
    <t>CR-006</t>
  </si>
  <si>
    <t>CR-007</t>
  </si>
  <si>
    <t>CR-008</t>
  </si>
  <si>
    <t>CR-009</t>
  </si>
  <si>
    <t>CR-011</t>
  </si>
  <si>
    <t>CR-012</t>
  </si>
  <si>
    <t>CR-013</t>
  </si>
  <si>
    <t>CR-010</t>
  </si>
  <si>
    <t>CR-015</t>
  </si>
  <si>
    <t>CR-018</t>
  </si>
  <si>
    <t>CR-021</t>
  </si>
  <si>
    <t>CR-022</t>
  </si>
  <si>
    <t>CR-016</t>
  </si>
  <si>
    <t>CR-017</t>
  </si>
  <si>
    <t>CR-020</t>
  </si>
  <si>
    <t>CR-023</t>
  </si>
  <si>
    <t>Cómo usar esta bitácora</t>
  </si>
  <si>
    <t>Propósito</t>
  </si>
  <si>
    <t>Registrar cada validación semanal de aceptación con Telemóvil CR para los 23 sitios LTE B41.</t>
  </si>
  <si>
    <t>Inicio del proyecto</t>
  </si>
  <si>
    <t>Áreas Telemóvil</t>
  </si>
  <si>
    <t>RAN (Roberto), Planning (Marcela), Quality (Patricia), O&amp;M (Fernando), Acceptance (Ricardo Mendoza).</t>
  </si>
  <si>
    <t>Hitos</t>
  </si>
  <si>
    <t>🎯 Cierre Golden Cluster W4 (24-30 jun). 🔴 Entrega de avance 1 jul. 🔴 Reporte PIDA 11 ago.</t>
  </si>
  <si>
    <t>Cadencia</t>
  </si>
  <si>
    <t>Sesión semanal de aceptación con Ricardo Mendoza. Resumen al final de cada semana.</t>
  </si>
  <si>
    <t>Subcompetencias</t>
  </si>
  <si>
    <t>3.3 Gestión de Involucrados + 1.5 Metrics &amp; Reporting.</t>
  </si>
  <si>
    <t>2-3</t>
  </si>
  <si>
    <t>3-4</t>
  </si>
  <si>
    <t>4-5</t>
  </si>
  <si>
    <t>5-6</t>
  </si>
  <si>
    <t>6-7</t>
  </si>
  <si>
    <t>7-8</t>
  </si>
  <si>
    <t>✓</t>
  </si>
  <si>
    <t>Aceptado</t>
  </si>
  <si>
    <t>Sí</t>
  </si>
  <si>
    <t>miercoles  3 junio 2026 (W1). Golden Cluster en W2 (10-16 jun) con 3 sitios: CR-001, CR-003, CR-005.</t>
  </si>
  <si>
    <t>W4 (24-30 jun) — Cierre Golden Cluster · Retrospectiva  🔴 Deadline Entrega de Avance 1 jul</t>
  </si>
  <si>
    <t>Fernando</t>
  </si>
  <si>
    <t>Sitio configurado, sin pendientes y sin alarmas</t>
  </si>
  <si>
    <t>No</t>
  </si>
  <si>
    <t>#</t>
  </si>
  <si>
    <t>Aceptado con observaciones</t>
  </si>
  <si>
    <t>Todo ok</t>
  </si>
  <si>
    <t xml:space="preserve">Se tiene una disminución en throughput </t>
  </si>
  <si>
    <t>Grand Total</t>
  </si>
  <si>
    <t>10-23 junio</t>
  </si>
  <si>
    <t>17-30 junio</t>
  </si>
  <si>
    <t>24 junio - 06 julio</t>
  </si>
  <si>
    <t>01-13 julio</t>
  </si>
  <si>
    <t>07-21 julio</t>
  </si>
  <si>
    <t>14-27 julio</t>
  </si>
  <si>
    <t>Fechas</t>
  </si>
  <si>
    <t xml:space="preserve">SAD = Site Acceptance Document </t>
  </si>
  <si>
    <t>Planning</t>
  </si>
  <si>
    <t>Marcela</t>
  </si>
  <si>
    <t>Sitio con capcidad según diseño</t>
  </si>
  <si>
    <t>Fecha planeada aceptación</t>
  </si>
  <si>
    <t>Fecha real Aceptación</t>
  </si>
  <si>
    <t>Pendiente</t>
  </si>
  <si>
    <t>En revisión</t>
  </si>
  <si>
    <t>Se observa que el throughput bajó por falta de configuración, por lo que se agrega al check list de integración dicha validación.</t>
  </si>
  <si>
    <t>Estatus de FTR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</si>
</sst>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F800]dddd\,\ mmmm\ dd\,\ yyyy"/>
  </numFmts>
  <fonts count="8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i/>
      <sz val="10"/>
      <color rgb="FF555555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FFE699"/>
      </patternFill>
    </fill>
    <fill>
      <patternFill patternType="solid">
        <fgColor rgb="FFC6EFCE"/>
      </patternFill>
    </fill>
    <fill>
      <patternFill patternType="solid">
        <fgColor rgb="FFFFE699"/>
        <bgColor rgb="FF000000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2" xfId="0" applyBorder="1"/>
    <xf numFmtId="0" fontId="4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0" fillId="0" borderId="0" xfId="0"/>
    <xf numFmtId="0" fontId="1" fillId="0" borderId="0" xfId="0" applyFont="1"/>
    <xf numFmtId="49" fontId="4" fillId="5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16" fontId="4" fillId="0" borderId="1" xfId="0" applyNumberFormat="1" applyFont="1" applyBorder="1" applyAlignment="1">
      <alignment horizontal="center" vertical="center" wrapText="1"/>
    </xf>
    <xf numFmtId="16" fontId="4" fillId="0" borderId="2" xfId="0" applyNumberFormat="1" applyFont="1" applyBorder="1" applyAlignment="1">
      <alignment horizontal="center" vertical="center" wrapText="1"/>
    </xf>
    <xf numFmtId="0" fontId="0" fillId="0" borderId="0" xfId="0" pivotButton="1"/>
    <xf numFmtId="49" fontId="7" fillId="7" borderId="1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0" fillId="0" borderId="1" xfId="0" applyBorder="1"/>
    <xf numFmtId="16" fontId="4" fillId="0" borderId="0" xfId="0" applyNumberFormat="1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0" fillId="0" borderId="2" xfId="0" applyBorder="1" applyAlignment="1"/>
    <xf numFmtId="0" fontId="0" fillId="0" borderId="3" xfId="0" applyBorder="1" applyAlignment="1"/>
    <xf numFmtId="0" fontId="5" fillId="4" borderId="5" xfId="0" applyFont="1" applyFill="1" applyBorder="1" applyAlignment="1">
      <alignment horizontal="center" vertical="center" wrapText="1"/>
    </xf>
    <xf numFmtId="170" fontId="0" fillId="0" borderId="0" xfId="0" applyNumberFormat="1"/>
    <xf numFmtId="170" fontId="7" fillId="7" borderId="1" xfId="0" applyNumberFormat="1" applyFont="1" applyFill="1" applyBorder="1" applyAlignment="1">
      <alignment horizontal="center" vertical="center" wrapText="1"/>
    </xf>
    <xf numFmtId="170" fontId="4" fillId="3" borderId="1" xfId="0" applyNumberFormat="1" applyFont="1" applyFill="1" applyBorder="1" applyAlignment="1">
      <alignment horizontal="center" vertical="center" wrapText="1"/>
    </xf>
    <xf numFmtId="170" fontId="4" fillId="6" borderId="1" xfId="0" applyNumberFormat="1" applyFont="1" applyFill="1" applyBorder="1" applyAlignment="1">
      <alignment horizontal="center" vertical="center" wrapText="1"/>
    </xf>
    <xf numFmtId="170" fontId="4" fillId="4" borderId="1" xfId="0" applyNumberFormat="1" applyFont="1" applyFill="1" applyBorder="1" applyAlignment="1">
      <alignment horizontal="center" vertical="center" wrapText="1"/>
    </xf>
    <xf numFmtId="0" fontId="0" fillId="0" borderId="6" xfId="0" pivotButton="1" applyBorder="1"/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NumberFormat="1" applyBorder="1"/>
    <xf numFmtId="0" fontId="0" fillId="0" borderId="10" xfId="0" applyBorder="1" applyAlignment="1">
      <alignment horizontal="left"/>
    </xf>
    <xf numFmtId="0" fontId="0" fillId="0" borderId="11" xfId="0" applyNumberFormat="1" applyBorder="1"/>
  </cellXfs>
  <cellStyles count="1">
    <cellStyle name="Normal" xfId="0" builtinId="0"/>
  </cellStyles>
  <dxfs count="14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[1.4 Bitacora-de-Validacion y FTR.xlsx]Resumen FTR!PivotTable7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% FTR de sitios Aceptados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'Resumen FTR'!$P$3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'Resumen FTR'!$O$4:$O$6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'Resumen FTR'!$P$4:$P$6</c:f>
              <c:numCache>
                <c:formatCode>General</c:formatCode>
                <c:ptCount val="2"/>
                <c:pt idx="0">
                  <c:v>1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25-4744-A3B1-FDF4C3FC3CB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323850</xdr:colOff>
      <xdr:row>7</xdr:row>
      <xdr:rowOff>12706</xdr:rowOff>
    </xdr:from>
    <xdr:to>
      <xdr:col>20</xdr:col>
      <xdr:colOff>38100</xdr:colOff>
      <xdr:row>36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AD5BF1-3271-29A4-A36C-8C5BB30E8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arlosemmanuelramirezcastanon/Library/Mobile%20Documents/com~apple~CloudDocs/Agile%20Project%20Leader/14.%20Proyecto%20PIDA/02.%20Entrega%20etapa%202/Delivery/Seguimiento/1.1%20Backlog%20Priorizado.xlsx" TargetMode="External"/><Relationship Id="rId1" Type="http://schemas.openxmlformats.org/officeDocument/2006/relationships/externalLinkPath" Target="1.1%20Backlog%20Prioriz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Proyecto"/>
      <sheetName val="Backlog Priorizado"/>
      <sheetName val="Cronograma del Proyecto"/>
      <sheetName val="Resumen por Épica"/>
      <sheetName val="Reglas y WIP"/>
    </sheetNames>
    <sheetDataSet>
      <sheetData sheetId="0" refreshError="1"/>
      <sheetData sheetId="1">
        <row r="5">
          <cell r="B5" t="str">
            <v>ID</v>
          </cell>
          <cell r="C5" t="str">
            <v>Zona</v>
          </cell>
          <cell r="D5" t="str">
            <v>Tipo</v>
          </cell>
          <cell r="E5" t="str">
            <v>Épica</v>
          </cell>
          <cell r="F5" t="str">
            <v>Prioridad</v>
          </cell>
          <cell r="G5" t="str">
            <v>Semanas planeadas</v>
          </cell>
        </row>
        <row r="6">
          <cell r="B6" t="str">
            <v>CR-001</v>
          </cell>
          <cell r="C6" t="str">
            <v>🔶 Zona 1 (San José Centro)</v>
          </cell>
          <cell r="D6" t="str">
            <v>Corredor comercial</v>
          </cell>
          <cell r="E6" t="str">
            <v>E1 Golden Cluster</v>
          </cell>
          <cell r="F6" t="str">
            <v>Golden Cluster</v>
          </cell>
          <cell r="G6" t="str">
            <v>2-3</v>
          </cell>
        </row>
        <row r="7">
          <cell r="B7" t="str">
            <v>CR-003</v>
          </cell>
          <cell r="C7" t="str">
            <v>🔶 Zona 2 (Escazú)</v>
          </cell>
          <cell r="D7" t="str">
            <v>Urbano denso</v>
          </cell>
          <cell r="E7" t="str">
            <v>E1 Golden Cluster</v>
          </cell>
          <cell r="F7" t="str">
            <v>Golden Cluster</v>
          </cell>
          <cell r="G7" t="str">
            <v>2-3</v>
          </cell>
        </row>
        <row r="8">
          <cell r="B8" t="str">
            <v>CR-005</v>
          </cell>
          <cell r="C8" t="str">
            <v>🔶 Zona 3 (Curridabat)</v>
          </cell>
          <cell r="D8" t="str">
            <v>Urbano denso</v>
          </cell>
          <cell r="E8" t="str">
            <v>E1 Golden Cluster</v>
          </cell>
          <cell r="F8" t="str">
            <v>Golden Cluster</v>
          </cell>
          <cell r="G8" t="str">
            <v>2-3</v>
          </cell>
        </row>
        <row r="9">
          <cell r="B9" t="str">
            <v>CR-014</v>
          </cell>
          <cell r="C9" t="str">
            <v>🔶 Zona 4 (Heredia)</v>
          </cell>
          <cell r="D9" t="str">
            <v>Suburbano</v>
          </cell>
          <cell r="E9" t="str">
            <v>E2 Despliegue Urbano</v>
          </cell>
          <cell r="F9" t="str">
            <v>Alta</v>
          </cell>
          <cell r="G9" t="str">
            <v>3-4</v>
          </cell>
        </row>
        <row r="10">
          <cell r="B10" t="str">
            <v>CR-019</v>
          </cell>
          <cell r="C10" t="str">
            <v>🔶 Zona 5 (Alajuela)</v>
          </cell>
          <cell r="D10" t="str">
            <v>Suburbano</v>
          </cell>
          <cell r="E10" t="str">
            <v>E2 Despliegue Urbano</v>
          </cell>
          <cell r="F10" t="str">
            <v>Alta</v>
          </cell>
          <cell r="G10" t="str">
            <v>3-4</v>
          </cell>
        </row>
        <row r="11">
          <cell r="B11" t="str">
            <v>CR-002</v>
          </cell>
          <cell r="C11" t="str">
            <v>🔶 Zona 6 (San José Oeste)</v>
          </cell>
          <cell r="D11" t="str">
            <v>Corredor comercial</v>
          </cell>
          <cell r="E11" t="str">
            <v>E2 Despliegue Urbano</v>
          </cell>
          <cell r="F11" t="str">
            <v>Alta</v>
          </cell>
          <cell r="G11" t="str">
            <v>3-4</v>
          </cell>
        </row>
        <row r="12">
          <cell r="B12" t="str">
            <v>CR-004</v>
          </cell>
          <cell r="C12" t="str">
            <v>🔶 Zona 7 (Santa Ana)</v>
          </cell>
          <cell r="D12" t="str">
            <v>Urbano denso</v>
          </cell>
          <cell r="E12" t="str">
            <v>E2 Despliegue Urbano</v>
          </cell>
          <cell r="F12" t="str">
            <v>Alta</v>
          </cell>
          <cell r="G12" t="str">
            <v>3-4</v>
          </cell>
        </row>
        <row r="13">
          <cell r="B13" t="str">
            <v>CR-006</v>
          </cell>
          <cell r="C13" t="str">
            <v>🔶 Zona 8 (Sabana)</v>
          </cell>
          <cell r="D13" t="str">
            <v>Urbano denso</v>
          </cell>
          <cell r="E13" t="str">
            <v>E2 Despliegue Urbano</v>
          </cell>
          <cell r="F13" t="str">
            <v>Alta</v>
          </cell>
          <cell r="G13" t="str">
            <v>4-5</v>
          </cell>
        </row>
        <row r="14">
          <cell r="B14" t="str">
            <v>CR-007</v>
          </cell>
          <cell r="C14" t="str">
            <v>🔶 Zona 9 (Tibás)</v>
          </cell>
          <cell r="D14" t="str">
            <v>Urbano denso</v>
          </cell>
          <cell r="E14" t="str">
            <v>E2 Despliegue Urbano</v>
          </cell>
          <cell r="F14" t="str">
            <v>Alta</v>
          </cell>
          <cell r="G14" t="str">
            <v>4-5</v>
          </cell>
        </row>
        <row r="15">
          <cell r="B15" t="str">
            <v>CR-008</v>
          </cell>
          <cell r="C15" t="str">
            <v>🔶 Zona 10 (Moravia)</v>
          </cell>
          <cell r="D15" t="str">
            <v>Urbano denso</v>
          </cell>
          <cell r="E15" t="str">
            <v>E2 Despliegue Urbano</v>
          </cell>
          <cell r="F15" t="str">
            <v>Media</v>
          </cell>
          <cell r="G15" t="str">
            <v>4-5</v>
          </cell>
        </row>
        <row r="16">
          <cell r="B16" t="str">
            <v>CR-009</v>
          </cell>
          <cell r="C16" t="str">
            <v>🔶 Zona 11 (Pavas)</v>
          </cell>
          <cell r="D16" t="str">
            <v>Urbano denso</v>
          </cell>
          <cell r="E16" t="str">
            <v>E2 Despliegue Urbano</v>
          </cell>
          <cell r="F16" t="str">
            <v>Media</v>
          </cell>
          <cell r="G16" t="str">
            <v>4-5</v>
          </cell>
        </row>
        <row r="17">
          <cell r="B17" t="str">
            <v>CR-011</v>
          </cell>
          <cell r="C17" t="str">
            <v>🔶 Zona 12 (Desamparados)</v>
          </cell>
          <cell r="D17" t="str">
            <v>Urbano denso</v>
          </cell>
          <cell r="E17" t="str">
            <v>E2 Despliegue Urbano</v>
          </cell>
          <cell r="F17" t="str">
            <v>Media</v>
          </cell>
          <cell r="G17" t="str">
            <v>4-5</v>
          </cell>
        </row>
        <row r="18">
          <cell r="B18" t="str">
            <v>CR-012</v>
          </cell>
          <cell r="C18" t="str">
            <v>🔶 Zona 13 (Goicoechea)</v>
          </cell>
          <cell r="D18" t="str">
            <v>Urbano denso</v>
          </cell>
          <cell r="E18" t="str">
            <v>E2 Despliegue Urbano</v>
          </cell>
          <cell r="F18" t="str">
            <v>Media</v>
          </cell>
          <cell r="G18" t="str">
            <v>5-6</v>
          </cell>
        </row>
        <row r="19">
          <cell r="B19" t="str">
            <v>CR-013</v>
          </cell>
          <cell r="C19" t="str">
            <v>🔶 Zona 14 (Hatillo)</v>
          </cell>
          <cell r="D19" t="str">
            <v>Urbano denso</v>
          </cell>
          <cell r="E19" t="str">
            <v>E2 Despliegue Urbano</v>
          </cell>
          <cell r="F19" t="str">
            <v>Media</v>
          </cell>
          <cell r="G19" t="str">
            <v>5-6</v>
          </cell>
        </row>
        <row r="20">
          <cell r="B20" t="str">
            <v>CR-010</v>
          </cell>
          <cell r="C20" t="str">
            <v>🔶 Zona 15 (San Pedro)</v>
          </cell>
          <cell r="D20" t="str">
            <v>Urbano denso</v>
          </cell>
          <cell r="E20" t="str">
            <v>E2 Despliegue Urbano</v>
          </cell>
          <cell r="F20" t="str">
            <v>Media</v>
          </cell>
          <cell r="G20" t="str">
            <v>5-6</v>
          </cell>
        </row>
        <row r="21">
          <cell r="B21" t="str">
            <v>CR-015</v>
          </cell>
          <cell r="C21" t="str">
            <v>🔶 Zona 16 (Cartago)</v>
          </cell>
          <cell r="D21" t="str">
            <v>Suburbano</v>
          </cell>
          <cell r="E21" t="str">
            <v>E3 Suburbano</v>
          </cell>
          <cell r="F21" t="str">
            <v>Media</v>
          </cell>
          <cell r="G21" t="str">
            <v>5-6</v>
          </cell>
        </row>
        <row r="22">
          <cell r="B22" t="str">
            <v>CR-018</v>
          </cell>
          <cell r="C22" t="str">
            <v>🔶 Zona 17 (Coronado)</v>
          </cell>
          <cell r="D22" t="str">
            <v>Suburbano</v>
          </cell>
          <cell r="E22" t="str">
            <v>E3 Suburbano</v>
          </cell>
          <cell r="F22" t="str">
            <v>Media</v>
          </cell>
          <cell r="G22" t="str">
            <v>6-7</v>
          </cell>
        </row>
        <row r="23">
          <cell r="B23" t="str">
            <v>CR-021</v>
          </cell>
          <cell r="C23" t="str">
            <v>🔶 Zona 18 (Heredia Centro)</v>
          </cell>
          <cell r="D23" t="str">
            <v>Suburbano</v>
          </cell>
          <cell r="E23" t="str">
            <v>E3 Suburbano</v>
          </cell>
          <cell r="F23" t="str">
            <v>Media</v>
          </cell>
          <cell r="G23" t="str">
            <v>6-7</v>
          </cell>
        </row>
        <row r="24">
          <cell r="B24" t="str">
            <v>CR-022</v>
          </cell>
          <cell r="C24" t="str">
            <v>🔶 Zona 19 (Alajuela Centro)</v>
          </cell>
          <cell r="D24" t="str">
            <v>Suburbano</v>
          </cell>
          <cell r="E24" t="str">
            <v>E3 Suburbano</v>
          </cell>
          <cell r="F24" t="str">
            <v>Media</v>
          </cell>
          <cell r="G24" t="str">
            <v>6-7</v>
          </cell>
        </row>
        <row r="25">
          <cell r="B25" t="str">
            <v>CR-016</v>
          </cell>
          <cell r="C25" t="str">
            <v>🔶 Zona 20 (Cartago Centro)</v>
          </cell>
          <cell r="D25" t="str">
            <v>Suburbano</v>
          </cell>
          <cell r="E25" t="str">
            <v>E3 Suburbano</v>
          </cell>
          <cell r="F25" t="str">
            <v>Media</v>
          </cell>
          <cell r="G25" t="str">
            <v>6-7</v>
          </cell>
        </row>
        <row r="26">
          <cell r="B26" t="str">
            <v>CR-017</v>
          </cell>
          <cell r="C26" t="str">
            <v>🔶 Zona 21 (Tres Ríos)</v>
          </cell>
          <cell r="D26" t="str">
            <v>Suburbano</v>
          </cell>
          <cell r="E26" t="str">
            <v>E4 Sitios de Cierre</v>
          </cell>
          <cell r="F26" t="str">
            <v>Baja</v>
          </cell>
          <cell r="G26" t="str">
            <v>7-8</v>
          </cell>
        </row>
        <row r="27">
          <cell r="B27" t="str">
            <v>CR-020</v>
          </cell>
          <cell r="C27" t="str">
            <v>🔶 Zona 22 (Aserrí)</v>
          </cell>
          <cell r="D27" t="str">
            <v>Suburbano</v>
          </cell>
          <cell r="E27" t="str">
            <v>E4 Sitios de Cierre</v>
          </cell>
          <cell r="F27" t="str">
            <v>Baja</v>
          </cell>
          <cell r="G27" t="str">
            <v>7-8</v>
          </cell>
        </row>
        <row r="28">
          <cell r="B28" t="str">
            <v>CR-023</v>
          </cell>
          <cell r="C28" t="str">
            <v>🔶 Zona 23 (Liberia)</v>
          </cell>
          <cell r="D28" t="str">
            <v>Suburbano</v>
          </cell>
          <cell r="E28" t="str">
            <v>E4 Sitios de Cierre</v>
          </cell>
          <cell r="F28" t="str">
            <v>Baja (pendiente readiness)</v>
          </cell>
          <cell r="G28" t="str">
            <v>7-8</v>
          </cell>
        </row>
      </sheetData>
      <sheetData sheetId="2" refreshError="1"/>
      <sheetData sheetId="3" refreshError="1"/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Emmanuel Ramirez Castañon" refreshedDate="46201.868279745373" createdVersion="8" refreshedVersion="8" minRefreshableVersion="3" recordCount="23" xr:uid="{9375AF26-3E29-AE45-9018-3349F30778A3}">
  <cacheSource type="worksheet">
    <worksheetSource ref="A3:L26" sheet="Resumen FTR"/>
  </cacheSource>
  <cacheFields count="12">
    <cacheField name="#" numFmtId="0">
      <sharedItems containsSemiMixedTypes="0" containsString="0" containsNumber="1" containsInteger="1" minValue="1" maxValue="23"/>
    </cacheField>
    <cacheField name="Sitio" numFmtId="0">
      <sharedItems/>
    </cacheField>
    <cacheField name="Semana plan" numFmtId="0">
      <sharedItems/>
    </cacheField>
    <cacheField name="Fechas" numFmtId="0">
      <sharedItems/>
    </cacheField>
    <cacheField name="Fecha planeada aceptación" numFmtId="170">
      <sharedItems containsSemiMixedTypes="0" containsNonDate="0" containsDate="1" containsString="0" minDate="2026-06-17T00:00:00" maxDate="2026-07-24T00:00:00"/>
    </cacheField>
    <cacheField name="Fecha real Aceptación" numFmtId="170">
      <sharedItems containsNonDate="0" containsDate="1" containsString="0" containsBlank="1" minDate="2026-06-22T00:00:00" maxDate="2026-06-27T00:00:00"/>
    </cacheField>
    <cacheField name="RAN" numFmtId="0">
      <sharedItems containsBlank="1"/>
    </cacheField>
    <cacheField name="Quality" numFmtId="0">
      <sharedItems containsBlank="1"/>
    </cacheField>
    <cacheField name="O&amp;M" numFmtId="0">
      <sharedItems containsBlank="1"/>
    </cacheField>
    <cacheField name="Acceptance" numFmtId="0">
      <sharedItems containsBlank="1"/>
    </cacheField>
    <cacheField name="Estado" numFmtId="0">
      <sharedItems containsBlank="1" count="3">
        <s v="Aceptado"/>
        <s v="Pendiente"/>
        <m/>
      </sharedItems>
    </cacheField>
    <cacheField name="FTR" numFmtId="0">
      <sharedItems containsBlank="1" count="5">
        <s v="No"/>
        <s v="Sí"/>
        <s v="Pendiente"/>
        <m/>
        <s v="N/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1"/>
    <s v="CR-001"/>
    <s v="2-3"/>
    <s v="10-23 junio"/>
    <d v="2026-06-17T00:00:00"/>
    <d v="2026-06-22T00:00:00"/>
    <s v="✓"/>
    <s v="✓"/>
    <s v="✓"/>
    <s v="✓"/>
    <x v="0"/>
    <x v="0"/>
  </r>
  <r>
    <n v="2"/>
    <s v="CR-003"/>
    <s v="2-3"/>
    <s v="10-23 junio"/>
    <d v="2026-06-18T00:00:00"/>
    <d v="2026-06-22T00:00:00"/>
    <s v="✓"/>
    <s v="✓"/>
    <s v="✓"/>
    <s v="✓"/>
    <x v="0"/>
    <x v="1"/>
  </r>
  <r>
    <n v="3"/>
    <s v="CR-005"/>
    <s v="2-3"/>
    <s v="10-23 junio"/>
    <d v="2026-06-19T00:00:00"/>
    <d v="2026-06-22T00:00:00"/>
    <s v="✓"/>
    <s v="✓"/>
    <s v="✓"/>
    <s v="✓"/>
    <x v="0"/>
    <x v="1"/>
  </r>
  <r>
    <n v="4"/>
    <s v="CR-014"/>
    <s v="3-4"/>
    <s v="17-30 junio"/>
    <d v="2026-06-24T00:00:00"/>
    <d v="2026-06-26T00:00:00"/>
    <s v="✓"/>
    <s v="✓"/>
    <s v="✓"/>
    <s v="✓"/>
    <x v="0"/>
    <x v="1"/>
  </r>
  <r>
    <n v="5"/>
    <s v="CR-019"/>
    <s v="3-4"/>
    <s v="17-30 junio"/>
    <d v="2026-06-25T00:00:00"/>
    <d v="2026-06-26T00:00:00"/>
    <s v="✓"/>
    <s v="✓"/>
    <s v="✓"/>
    <s v="✓"/>
    <x v="0"/>
    <x v="1"/>
  </r>
  <r>
    <n v="6"/>
    <s v="CR-002"/>
    <s v="3-4"/>
    <s v="17-30 junio"/>
    <d v="2026-06-26T00:00:00"/>
    <d v="2026-06-26T00:00:00"/>
    <s v="✓"/>
    <s v="✓"/>
    <s v="✓"/>
    <s v="✓"/>
    <x v="0"/>
    <x v="1"/>
  </r>
  <r>
    <n v="7"/>
    <s v="CR-004"/>
    <s v="3-4"/>
    <s v="17-30 junio"/>
    <d v="2026-06-27T00:00:00"/>
    <d v="2026-06-26T00:00:00"/>
    <s v="✓"/>
    <s v="✓"/>
    <s v="✓"/>
    <s v="✓"/>
    <x v="0"/>
    <x v="1"/>
  </r>
  <r>
    <n v="8"/>
    <s v="CR-006"/>
    <s v="4-5"/>
    <s v="24 junio - 06 julio"/>
    <d v="2026-07-01T00:00:00"/>
    <m/>
    <m/>
    <m/>
    <m/>
    <m/>
    <x v="1"/>
    <x v="2"/>
  </r>
  <r>
    <n v="9"/>
    <s v="CR-007"/>
    <s v="4-5"/>
    <s v="24 junio - 06 julio"/>
    <d v="2026-07-02T00:00:00"/>
    <m/>
    <m/>
    <m/>
    <m/>
    <m/>
    <x v="1"/>
    <x v="2"/>
  </r>
  <r>
    <n v="10"/>
    <s v="CR-008"/>
    <s v="4-5"/>
    <s v="24 junio - 06 julio"/>
    <d v="2026-07-03T00:00:00"/>
    <m/>
    <m/>
    <m/>
    <m/>
    <m/>
    <x v="1"/>
    <x v="2"/>
  </r>
  <r>
    <n v="11"/>
    <s v="CR-009"/>
    <s v="4-5"/>
    <s v="24 junio - 06 julio"/>
    <d v="2026-07-04T00:00:00"/>
    <m/>
    <m/>
    <m/>
    <m/>
    <m/>
    <x v="1"/>
    <x v="2"/>
  </r>
  <r>
    <n v="12"/>
    <s v="CR-011"/>
    <s v="4-5"/>
    <s v="24 junio - 06 julio"/>
    <d v="2026-07-06T00:00:00"/>
    <m/>
    <m/>
    <m/>
    <m/>
    <m/>
    <x v="1"/>
    <x v="2"/>
  </r>
  <r>
    <n v="13"/>
    <s v="CR-012"/>
    <s v="5-6"/>
    <s v="01-13 julio"/>
    <d v="2026-07-08T00:00:00"/>
    <m/>
    <m/>
    <m/>
    <m/>
    <m/>
    <x v="2"/>
    <x v="3"/>
  </r>
  <r>
    <n v="14"/>
    <s v="CR-013"/>
    <s v="5-6"/>
    <s v="01-13 julio"/>
    <d v="2026-07-09T00:00:00"/>
    <m/>
    <m/>
    <m/>
    <m/>
    <m/>
    <x v="2"/>
    <x v="3"/>
  </r>
  <r>
    <n v="15"/>
    <s v="CR-010"/>
    <s v="5-6"/>
    <s v="01-13 julio"/>
    <d v="2026-07-10T00:00:00"/>
    <m/>
    <m/>
    <m/>
    <m/>
    <m/>
    <x v="2"/>
    <x v="3"/>
  </r>
  <r>
    <n v="16"/>
    <s v="CR-015"/>
    <s v="5-6"/>
    <s v="01-13 julio"/>
    <d v="2026-07-11T00:00:00"/>
    <m/>
    <m/>
    <m/>
    <m/>
    <m/>
    <x v="2"/>
    <x v="3"/>
  </r>
  <r>
    <n v="17"/>
    <s v="CR-018"/>
    <s v="6-7"/>
    <s v="07-21 julio"/>
    <d v="2026-07-14T00:00:00"/>
    <m/>
    <m/>
    <m/>
    <m/>
    <m/>
    <x v="2"/>
    <x v="3"/>
  </r>
  <r>
    <n v="18"/>
    <s v="CR-021"/>
    <s v="6-7"/>
    <s v="07-21 julio"/>
    <d v="2026-07-15T00:00:00"/>
    <m/>
    <m/>
    <m/>
    <m/>
    <m/>
    <x v="2"/>
    <x v="3"/>
  </r>
  <r>
    <n v="19"/>
    <s v="CR-022"/>
    <s v="6-7"/>
    <s v="07-21 julio"/>
    <d v="2026-07-16T00:00:00"/>
    <m/>
    <m/>
    <m/>
    <m/>
    <m/>
    <x v="2"/>
    <x v="3"/>
  </r>
  <r>
    <n v="20"/>
    <s v="CR-016"/>
    <s v="6-7"/>
    <s v="07-21 julio"/>
    <d v="2026-07-17T00:00:00"/>
    <m/>
    <m/>
    <m/>
    <m/>
    <m/>
    <x v="2"/>
    <x v="3"/>
  </r>
  <r>
    <n v="21"/>
    <s v="CR-017"/>
    <s v="7-8"/>
    <s v="14-27 julio"/>
    <d v="2026-07-21T00:00:00"/>
    <m/>
    <m/>
    <m/>
    <m/>
    <m/>
    <x v="2"/>
    <x v="3"/>
  </r>
  <r>
    <n v="22"/>
    <s v="CR-020"/>
    <s v="7-8"/>
    <s v="14-27 julio"/>
    <d v="2026-07-22T00:00:00"/>
    <m/>
    <m/>
    <m/>
    <m/>
    <m/>
    <x v="2"/>
    <x v="3"/>
  </r>
  <r>
    <n v="23"/>
    <s v="CR-023"/>
    <s v="7-8"/>
    <s v="14-27 julio"/>
    <d v="2026-07-23T00:00:00"/>
    <m/>
    <m/>
    <m/>
    <m/>
    <m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3C0CC4-3BC1-B741-AE4C-6E6FCCF3D231}" name="PivotTable7" cacheId="2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FTR">
  <location ref="O3:P6" firstHeaderRow="1" firstDataRow="1" firstDataCol="1" rowPageCount="1" colPageCount="1"/>
  <pivotFields count="12">
    <pivotField showAll="0"/>
    <pivotField showAll="0"/>
    <pivotField showAll="0"/>
    <pivotField showAll="0"/>
    <pivotField numFmtId="170" showAll="0"/>
    <pivotField showAll="0"/>
    <pivotField showAll="0"/>
    <pivotField showAll="0"/>
    <pivotField showAll="0"/>
    <pivotField showAll="0"/>
    <pivotField axis="axisPage" dataField="1" multipleItemSelectionAllowed="1" showAll="0">
      <items count="4">
        <item x="0"/>
        <item h="1" x="2"/>
        <item h="1" x="1"/>
        <item t="default"/>
      </items>
    </pivotField>
    <pivotField axis="axisRow" showAll="0">
      <items count="6">
        <item x="0"/>
        <item x="1"/>
        <item x="3"/>
        <item m="1" x="4"/>
        <item x="2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pageFields count="1">
    <pageField fld="10" hier="-1"/>
  </pageFields>
  <dataFields count="1">
    <dataField name="Estatus de FTR" fld="10" subtotal="count" baseField="0" baseItem="0"/>
  </dataFields>
  <formats count="6">
    <format dxfId="12">
      <pivotArea type="all" dataOnly="0" outline="0" fieldPosition="0"/>
    </format>
    <format dxfId="5">
      <pivotArea outline="0" collapsedLevelsAreSubtotals="1" fieldPosition="0"/>
    </format>
    <format dxfId="4">
      <pivotArea field="11" type="button" dataOnly="0" labelOnly="1" outline="0" axis="axisRow" fieldPosition="0"/>
    </format>
    <format dxfId="3">
      <pivotArea dataOnly="0" labelOnly="1" fieldPosition="0">
        <references count="1">
          <reference field="11" count="2">
            <x v="0"/>
            <x v="1"/>
          </reference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B777A6-46BE-8E4B-9FA4-F0D75A7DE26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6ebd0a9-046d-47f1-9e82-223f11a81664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22" customWidth="1"/>
    <col min="2" max="2" width="95" customWidth="1"/>
  </cols>
  <sheetData>
    <row r="1" spans="1:2" ht="21" x14ac:dyDescent="0.25">
      <c r="A1" s="11" t="s">
        <v>50</v>
      </c>
      <c r="B1" s="10"/>
    </row>
    <row r="3" spans="1:2" ht="30" customHeight="1" x14ac:dyDescent="0.2">
      <c r="A3" s="9" t="s">
        <v>51</v>
      </c>
      <c r="B3" s="6" t="s">
        <v>52</v>
      </c>
    </row>
    <row r="4" spans="1:2" ht="30" customHeight="1" x14ac:dyDescent="0.2">
      <c r="A4" s="9" t="s">
        <v>53</v>
      </c>
      <c r="B4" s="6" t="s">
        <v>71</v>
      </c>
    </row>
    <row r="5" spans="1:2" ht="30" customHeight="1" x14ac:dyDescent="0.2">
      <c r="A5" s="9" t="s">
        <v>54</v>
      </c>
      <c r="B5" s="6" t="s">
        <v>55</v>
      </c>
    </row>
    <row r="6" spans="1:2" ht="30" customHeight="1" x14ac:dyDescent="0.2">
      <c r="A6" s="9" t="s">
        <v>56</v>
      </c>
      <c r="B6" s="6" t="s">
        <v>57</v>
      </c>
    </row>
    <row r="7" spans="1:2" ht="30" customHeight="1" x14ac:dyDescent="0.2">
      <c r="A7" s="9" t="s">
        <v>58</v>
      </c>
      <c r="B7" s="6" t="s">
        <v>59</v>
      </c>
    </row>
    <row r="8" spans="1:2" ht="30" customHeight="1" x14ac:dyDescent="0.2">
      <c r="A8" s="9" t="s">
        <v>60</v>
      </c>
      <c r="B8" s="6" t="s">
        <v>61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"/>
  <sheetViews>
    <sheetView workbookViewId="0">
      <pane ySplit="5" topLeftCell="A6" activePane="bottomLeft" state="frozen"/>
      <selection pane="bottomLeft" activeCell="M8" sqref="M8"/>
    </sheetView>
  </sheetViews>
  <sheetFormatPr baseColWidth="10" defaultColWidth="8.83203125" defaultRowHeight="15" x14ac:dyDescent="0.2"/>
  <cols>
    <col min="1" max="1" width="5.1640625" bestFit="1" customWidth="1"/>
    <col min="2" max="2" width="8" customWidth="1"/>
    <col min="3" max="3" width="12.1640625" bestFit="1" customWidth="1"/>
    <col min="4" max="4" width="11.33203125" customWidth="1"/>
    <col min="5" max="5" width="12" customWidth="1"/>
    <col min="6" max="6" width="11" customWidth="1"/>
    <col min="7" max="7" width="14.6640625" customWidth="1"/>
    <col min="8" max="8" width="13.6640625" bestFit="1" customWidth="1"/>
    <col min="9" max="9" width="36" customWidth="1"/>
    <col min="10" max="10" width="11" customWidth="1"/>
    <col min="11" max="11" width="8" customWidth="1"/>
    <col min="12" max="12" width="30" customWidth="1"/>
    <col min="13" max="13" width="28" customWidth="1"/>
    <col min="14" max="14" width="18" customWidth="1"/>
  </cols>
  <sheetData>
    <row r="1" spans="1:14" ht="21" x14ac:dyDescent="0.25">
      <c r="A1" s="1" t="s">
        <v>0</v>
      </c>
      <c r="B1" s="1"/>
    </row>
    <row r="2" spans="1:14" x14ac:dyDescent="0.2">
      <c r="A2" s="2" t="s">
        <v>1</v>
      </c>
      <c r="B2" s="2"/>
    </row>
    <row r="3" spans="1:14" x14ac:dyDescent="0.2">
      <c r="A3" s="2" t="s">
        <v>2</v>
      </c>
      <c r="B3" s="2"/>
    </row>
    <row r="4" spans="1:14" x14ac:dyDescent="0.2">
      <c r="A4" s="2" t="s">
        <v>88</v>
      </c>
      <c r="B4" s="2"/>
    </row>
    <row r="5" spans="1:14" ht="56" customHeight="1" x14ac:dyDescent="0.2">
      <c r="A5" s="3" t="s">
        <v>76</v>
      </c>
      <c r="B5" s="3" t="s">
        <v>3</v>
      </c>
      <c r="C5" s="3" t="s">
        <v>87</v>
      </c>
      <c r="D5" s="3" t="s">
        <v>4</v>
      </c>
      <c r="E5" s="3" t="s">
        <v>92</v>
      </c>
      <c r="F5" s="3" t="s">
        <v>93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3" t="s">
        <v>12</v>
      </c>
    </row>
    <row r="6" spans="1:14" x14ac:dyDescent="0.2">
      <c r="A6">
        <v>1.1000000000000001</v>
      </c>
      <c r="B6" s="23" t="str">
        <f>VLOOKUP(D6,'[1]Backlog Priorizado'!$B$5:$G$30,6,0)</f>
        <v>2-3</v>
      </c>
      <c r="C6" s="23" t="s">
        <v>81</v>
      </c>
      <c r="D6" s="8" t="s">
        <v>13</v>
      </c>
      <c r="E6" s="20">
        <v>46190</v>
      </c>
      <c r="F6" s="20">
        <v>46195</v>
      </c>
      <c r="G6" s="6" t="s">
        <v>14</v>
      </c>
      <c r="H6" s="6" t="s">
        <v>15</v>
      </c>
      <c r="I6" s="6" t="s">
        <v>16</v>
      </c>
      <c r="J6" s="5" t="s">
        <v>70</v>
      </c>
      <c r="K6" s="5" t="s">
        <v>70</v>
      </c>
      <c r="L6" s="6" t="s">
        <v>78</v>
      </c>
      <c r="M6" s="6" t="s">
        <v>78</v>
      </c>
      <c r="N6" s="6" t="s">
        <v>69</v>
      </c>
    </row>
    <row r="7" spans="1:14" x14ac:dyDescent="0.2">
      <c r="A7">
        <v>1.2</v>
      </c>
      <c r="B7" s="12" t="s">
        <v>62</v>
      </c>
      <c r="C7" s="23" t="s">
        <v>81</v>
      </c>
      <c r="D7" s="8" t="s">
        <v>13</v>
      </c>
      <c r="E7" s="20">
        <v>46190</v>
      </c>
      <c r="F7" s="20">
        <v>46195</v>
      </c>
      <c r="G7" s="28" t="s">
        <v>89</v>
      </c>
      <c r="H7" s="28" t="s">
        <v>90</v>
      </c>
      <c r="I7" s="28" t="s">
        <v>91</v>
      </c>
      <c r="J7" s="5" t="s">
        <v>70</v>
      </c>
      <c r="K7" s="5" t="s">
        <v>70</v>
      </c>
      <c r="L7" s="6" t="s">
        <v>78</v>
      </c>
      <c r="M7" s="6" t="s">
        <v>78</v>
      </c>
      <c r="N7" s="6" t="s">
        <v>69</v>
      </c>
    </row>
    <row r="8" spans="1:14" ht="60" x14ac:dyDescent="0.2">
      <c r="A8">
        <v>1.3</v>
      </c>
      <c r="B8" s="23" t="str">
        <f>VLOOKUP(D8,'[1]Backlog Priorizado'!$B$5:$G$30,6,0)</f>
        <v>2-3</v>
      </c>
      <c r="C8" s="23" t="s">
        <v>81</v>
      </c>
      <c r="D8" s="8" t="s">
        <v>13</v>
      </c>
      <c r="E8" s="20">
        <v>46190</v>
      </c>
      <c r="F8" s="20">
        <v>46195</v>
      </c>
      <c r="G8" s="6" t="s">
        <v>17</v>
      </c>
      <c r="H8" s="6" t="s">
        <v>18</v>
      </c>
      <c r="I8" s="6" t="s">
        <v>19</v>
      </c>
      <c r="J8" s="5" t="s">
        <v>70</v>
      </c>
      <c r="K8" s="5" t="s">
        <v>75</v>
      </c>
      <c r="L8" s="6" t="s">
        <v>79</v>
      </c>
      <c r="M8" s="6" t="s">
        <v>96</v>
      </c>
      <c r="N8" s="6" t="s">
        <v>77</v>
      </c>
    </row>
    <row r="9" spans="1:14" x14ac:dyDescent="0.2">
      <c r="A9">
        <v>1.4</v>
      </c>
      <c r="B9" s="23" t="str">
        <f>VLOOKUP(D9,'[1]Backlog Priorizado'!$B$5:$G$30,6,0)</f>
        <v>2-3</v>
      </c>
      <c r="C9" s="23" t="s">
        <v>81</v>
      </c>
      <c r="D9" s="8" t="s">
        <v>13</v>
      </c>
      <c r="E9" s="20">
        <v>46190</v>
      </c>
      <c r="F9" s="20">
        <v>46195</v>
      </c>
      <c r="G9" s="6" t="s">
        <v>28</v>
      </c>
      <c r="H9" s="6" t="s">
        <v>73</v>
      </c>
      <c r="I9" s="6" t="s">
        <v>74</v>
      </c>
      <c r="J9" s="5" t="s">
        <v>70</v>
      </c>
      <c r="K9" s="5" t="s">
        <v>70</v>
      </c>
      <c r="L9" s="6" t="s">
        <v>78</v>
      </c>
      <c r="M9" s="6" t="s">
        <v>78</v>
      </c>
      <c r="N9" s="6" t="s">
        <v>69</v>
      </c>
    </row>
    <row r="10" spans="1:14" x14ac:dyDescent="0.2">
      <c r="A10">
        <v>1.5</v>
      </c>
      <c r="B10" s="23" t="str">
        <f>VLOOKUP(D10,'[1]Backlog Priorizado'!$B$5:$G$30,6,0)</f>
        <v>2-3</v>
      </c>
      <c r="C10" s="23" t="s">
        <v>81</v>
      </c>
      <c r="D10" s="8" t="s">
        <v>13</v>
      </c>
      <c r="E10" s="20">
        <v>46190</v>
      </c>
      <c r="F10" s="20">
        <v>46195</v>
      </c>
      <c r="G10" s="6" t="s">
        <v>20</v>
      </c>
      <c r="H10" s="6" t="s">
        <v>21</v>
      </c>
      <c r="I10" s="6" t="s">
        <v>22</v>
      </c>
      <c r="J10" s="5" t="s">
        <v>70</v>
      </c>
      <c r="K10" s="5" t="s">
        <v>70</v>
      </c>
      <c r="L10" s="6" t="s">
        <v>78</v>
      </c>
      <c r="M10" s="6" t="s">
        <v>78</v>
      </c>
      <c r="N10" s="6" t="s">
        <v>69</v>
      </c>
    </row>
    <row r="11" spans="1:14" x14ac:dyDescent="0.2">
      <c r="A11">
        <v>2.1</v>
      </c>
      <c r="B11" s="23" t="str">
        <f>VLOOKUP(D11,'[1]Backlog Priorizado'!$B$5:$G$30,6,0)</f>
        <v>2-3</v>
      </c>
      <c r="C11" s="23" t="s">
        <v>81</v>
      </c>
      <c r="D11" s="8" t="s">
        <v>23</v>
      </c>
      <c r="E11" s="20">
        <v>46191</v>
      </c>
      <c r="F11" s="20">
        <v>46195</v>
      </c>
      <c r="G11" s="6" t="s">
        <v>14</v>
      </c>
      <c r="H11" s="6" t="s">
        <v>15</v>
      </c>
      <c r="I11" s="6" t="s">
        <v>16</v>
      </c>
      <c r="J11" s="5" t="s">
        <v>70</v>
      </c>
      <c r="K11" s="5" t="s">
        <v>70</v>
      </c>
      <c r="L11" s="6" t="s">
        <v>78</v>
      </c>
      <c r="M11" s="6" t="s">
        <v>78</v>
      </c>
      <c r="N11" s="6" t="s">
        <v>69</v>
      </c>
    </row>
    <row r="12" spans="1:14" x14ac:dyDescent="0.2">
      <c r="A12">
        <v>2.2000000000000002</v>
      </c>
      <c r="B12" s="12" t="s">
        <v>62</v>
      </c>
      <c r="C12" s="23" t="s">
        <v>81</v>
      </c>
      <c r="D12" s="8" t="s">
        <v>23</v>
      </c>
      <c r="E12" s="20">
        <v>46191</v>
      </c>
      <c r="F12" s="20">
        <v>46195</v>
      </c>
      <c r="G12" s="28" t="s">
        <v>89</v>
      </c>
      <c r="H12" s="28" t="s">
        <v>90</v>
      </c>
      <c r="I12" s="28" t="s">
        <v>91</v>
      </c>
      <c r="J12" s="5" t="s">
        <v>70</v>
      </c>
      <c r="K12" s="5" t="s">
        <v>70</v>
      </c>
      <c r="L12" s="6" t="s">
        <v>78</v>
      </c>
      <c r="M12" s="6" t="s">
        <v>78</v>
      </c>
      <c r="N12" s="6" t="s">
        <v>69</v>
      </c>
    </row>
    <row r="13" spans="1:14" x14ac:dyDescent="0.2">
      <c r="A13">
        <v>2.2999999999999998</v>
      </c>
      <c r="B13" s="23" t="str">
        <f>VLOOKUP(D13,'[1]Backlog Priorizado'!$B$5:$G$30,6,0)</f>
        <v>2-3</v>
      </c>
      <c r="C13" s="23" t="s">
        <v>81</v>
      </c>
      <c r="D13" s="8" t="s">
        <v>23</v>
      </c>
      <c r="E13" s="20">
        <v>46191</v>
      </c>
      <c r="F13" s="20">
        <v>46195</v>
      </c>
      <c r="G13" s="6" t="s">
        <v>17</v>
      </c>
      <c r="H13" s="6" t="s">
        <v>18</v>
      </c>
      <c r="I13" s="6" t="s">
        <v>19</v>
      </c>
      <c r="J13" s="5" t="s">
        <v>70</v>
      </c>
      <c r="K13" s="5" t="s">
        <v>70</v>
      </c>
      <c r="L13" s="6" t="s">
        <v>78</v>
      </c>
      <c r="M13" s="6" t="s">
        <v>78</v>
      </c>
      <c r="N13" s="6" t="s">
        <v>69</v>
      </c>
    </row>
    <row r="14" spans="1:14" x14ac:dyDescent="0.2">
      <c r="A14">
        <v>2.4</v>
      </c>
      <c r="B14" s="23" t="str">
        <f>VLOOKUP(D14,'[1]Backlog Priorizado'!$B$5:$G$30,6,0)</f>
        <v>2-3</v>
      </c>
      <c r="C14" s="23" t="s">
        <v>81</v>
      </c>
      <c r="D14" s="8" t="s">
        <v>23</v>
      </c>
      <c r="E14" s="20">
        <v>46191</v>
      </c>
      <c r="F14" s="20">
        <v>46195</v>
      </c>
      <c r="G14" s="6" t="s">
        <v>28</v>
      </c>
      <c r="H14" s="6" t="s">
        <v>73</v>
      </c>
      <c r="I14" s="6" t="s">
        <v>74</v>
      </c>
      <c r="J14" s="5" t="s">
        <v>70</v>
      </c>
      <c r="K14" s="5" t="s">
        <v>70</v>
      </c>
      <c r="L14" s="6" t="s">
        <v>78</v>
      </c>
      <c r="M14" s="6" t="s">
        <v>78</v>
      </c>
      <c r="N14" s="6" t="s">
        <v>69</v>
      </c>
    </row>
    <row r="15" spans="1:14" x14ac:dyDescent="0.2">
      <c r="A15">
        <v>2.5</v>
      </c>
      <c r="B15" s="23" t="str">
        <f>VLOOKUP(D15,'[1]Backlog Priorizado'!$B$5:$G$30,6,0)</f>
        <v>2-3</v>
      </c>
      <c r="C15" s="23" t="s">
        <v>81</v>
      </c>
      <c r="D15" s="8" t="s">
        <v>23</v>
      </c>
      <c r="E15" s="20">
        <v>46191</v>
      </c>
      <c r="F15" s="20">
        <v>46195</v>
      </c>
      <c r="G15" s="6" t="s">
        <v>20</v>
      </c>
      <c r="H15" s="6" t="s">
        <v>21</v>
      </c>
      <c r="I15" s="6" t="s">
        <v>22</v>
      </c>
      <c r="J15" s="5" t="s">
        <v>70</v>
      </c>
      <c r="K15" s="5" t="s">
        <v>70</v>
      </c>
      <c r="L15" s="6" t="s">
        <v>78</v>
      </c>
      <c r="M15" s="6" t="s">
        <v>78</v>
      </c>
      <c r="N15" s="6" t="s">
        <v>69</v>
      </c>
    </row>
    <row r="16" spans="1:14" x14ac:dyDescent="0.2">
      <c r="A16">
        <v>3.1</v>
      </c>
      <c r="B16" s="23" t="str">
        <f>VLOOKUP(D16,'[1]Backlog Priorizado'!$B$5:$G$30,6,0)</f>
        <v>2-3</v>
      </c>
      <c r="C16" s="23" t="s">
        <v>81</v>
      </c>
      <c r="D16" s="8" t="s">
        <v>24</v>
      </c>
      <c r="E16" s="20">
        <v>46192</v>
      </c>
      <c r="F16" s="20">
        <v>46195</v>
      </c>
      <c r="G16" s="6" t="s">
        <v>14</v>
      </c>
      <c r="H16" s="6" t="s">
        <v>15</v>
      </c>
      <c r="I16" s="6" t="s">
        <v>16</v>
      </c>
      <c r="J16" s="5" t="s">
        <v>70</v>
      </c>
      <c r="K16" s="5" t="s">
        <v>70</v>
      </c>
      <c r="L16" s="6" t="s">
        <v>78</v>
      </c>
      <c r="M16" s="6" t="s">
        <v>78</v>
      </c>
      <c r="N16" s="6" t="s">
        <v>69</v>
      </c>
    </row>
    <row r="17" spans="1:14" x14ac:dyDescent="0.2">
      <c r="A17">
        <v>3.2</v>
      </c>
      <c r="B17" s="12" t="s">
        <v>62</v>
      </c>
      <c r="C17" s="23" t="s">
        <v>81</v>
      </c>
      <c r="D17" s="8" t="s">
        <v>24</v>
      </c>
      <c r="E17" s="20">
        <v>46192</v>
      </c>
      <c r="F17" s="20">
        <v>46195</v>
      </c>
      <c r="G17" s="28" t="s">
        <v>89</v>
      </c>
      <c r="H17" s="28" t="s">
        <v>90</v>
      </c>
      <c r="I17" s="28" t="s">
        <v>91</v>
      </c>
      <c r="J17" s="5" t="s">
        <v>70</v>
      </c>
      <c r="K17" s="5" t="s">
        <v>70</v>
      </c>
      <c r="L17" s="6" t="s">
        <v>78</v>
      </c>
      <c r="M17" s="6" t="s">
        <v>78</v>
      </c>
      <c r="N17" s="6" t="s">
        <v>69</v>
      </c>
    </row>
    <row r="18" spans="1:14" x14ac:dyDescent="0.2">
      <c r="A18">
        <v>3.3</v>
      </c>
      <c r="B18" s="23" t="str">
        <f>VLOOKUP(D18,'[1]Backlog Priorizado'!$B$5:$G$30,6,0)</f>
        <v>2-3</v>
      </c>
      <c r="C18" s="23" t="s">
        <v>81</v>
      </c>
      <c r="D18" s="8" t="s">
        <v>24</v>
      </c>
      <c r="E18" s="21">
        <v>46192</v>
      </c>
      <c r="F18" s="20">
        <v>46195</v>
      </c>
      <c r="G18" s="6" t="s">
        <v>17</v>
      </c>
      <c r="H18" s="6" t="s">
        <v>18</v>
      </c>
      <c r="I18" s="6" t="s">
        <v>19</v>
      </c>
      <c r="J18" s="5" t="s">
        <v>70</v>
      </c>
      <c r="K18" s="5" t="s">
        <v>70</v>
      </c>
      <c r="L18" s="6" t="s">
        <v>78</v>
      </c>
      <c r="M18" s="6" t="s">
        <v>78</v>
      </c>
      <c r="N18" s="6" t="s">
        <v>69</v>
      </c>
    </row>
    <row r="19" spans="1:14" x14ac:dyDescent="0.2">
      <c r="A19">
        <v>3.4</v>
      </c>
      <c r="B19" s="23" t="str">
        <f>VLOOKUP(D19,'[1]Backlog Priorizado'!$B$5:$G$30,6,0)</f>
        <v>2-3</v>
      </c>
      <c r="C19" s="23" t="s">
        <v>81</v>
      </c>
      <c r="D19" s="8" t="s">
        <v>24</v>
      </c>
      <c r="E19" s="21">
        <v>46192</v>
      </c>
      <c r="F19" s="20">
        <v>46195</v>
      </c>
      <c r="G19" s="6" t="s">
        <v>28</v>
      </c>
      <c r="H19" s="6" t="s">
        <v>73</v>
      </c>
      <c r="I19" s="6" t="s">
        <v>74</v>
      </c>
      <c r="J19" s="5" t="s">
        <v>70</v>
      </c>
      <c r="K19" s="5" t="s">
        <v>70</v>
      </c>
      <c r="L19" s="6" t="s">
        <v>78</v>
      </c>
      <c r="M19" s="6" t="s">
        <v>78</v>
      </c>
      <c r="N19" s="6" t="s">
        <v>69</v>
      </c>
    </row>
    <row r="20" spans="1:14" x14ac:dyDescent="0.2">
      <c r="A20">
        <v>3.5</v>
      </c>
      <c r="B20" s="23" t="str">
        <f>VLOOKUP(D20,'[1]Backlog Priorizado'!$B$5:$G$30,6,0)</f>
        <v>2-3</v>
      </c>
      <c r="C20" s="23" t="s">
        <v>81</v>
      </c>
      <c r="D20" s="8" t="s">
        <v>24</v>
      </c>
      <c r="E20" s="21">
        <v>46192</v>
      </c>
      <c r="F20" s="20">
        <v>46195</v>
      </c>
      <c r="G20" s="6" t="s">
        <v>20</v>
      </c>
      <c r="H20" s="6" t="s">
        <v>21</v>
      </c>
      <c r="I20" s="6" t="s">
        <v>22</v>
      </c>
      <c r="J20" s="5" t="s">
        <v>70</v>
      </c>
      <c r="K20" s="5" t="s">
        <v>70</v>
      </c>
      <c r="L20" s="6" t="s">
        <v>78</v>
      </c>
      <c r="M20" s="6" t="s">
        <v>78</v>
      </c>
      <c r="N20" s="6" t="s">
        <v>69</v>
      </c>
    </row>
    <row r="21" spans="1:14" x14ac:dyDescent="0.2">
      <c r="A21">
        <v>4.0999999999999996</v>
      </c>
      <c r="B21" s="4" t="str">
        <f>VLOOKUP(D21,'[1]Backlog Priorizado'!$B$5:$G$30,6,0)</f>
        <v>3-4</v>
      </c>
      <c r="C21" s="13" t="s">
        <v>82</v>
      </c>
      <c r="D21" s="4" t="s">
        <v>30</v>
      </c>
      <c r="E21" s="21">
        <v>46197</v>
      </c>
      <c r="F21" s="20">
        <v>46199</v>
      </c>
      <c r="G21" s="6" t="s">
        <v>14</v>
      </c>
      <c r="H21" s="6" t="s">
        <v>15</v>
      </c>
      <c r="I21" s="6" t="s">
        <v>16</v>
      </c>
      <c r="J21" s="5" t="s">
        <v>70</v>
      </c>
      <c r="K21" s="5" t="s">
        <v>70</v>
      </c>
      <c r="L21" s="6" t="s">
        <v>78</v>
      </c>
      <c r="M21" s="6" t="s">
        <v>78</v>
      </c>
      <c r="N21" s="6" t="s">
        <v>69</v>
      </c>
    </row>
    <row r="22" spans="1:14" x14ac:dyDescent="0.2">
      <c r="A22">
        <v>4.2</v>
      </c>
      <c r="B22" s="13" t="s">
        <v>63</v>
      </c>
      <c r="C22" s="13" t="s">
        <v>82</v>
      </c>
      <c r="D22" s="4" t="s">
        <v>30</v>
      </c>
      <c r="E22" s="21">
        <v>46197</v>
      </c>
      <c r="F22" s="20">
        <v>46199</v>
      </c>
      <c r="G22" s="28" t="s">
        <v>89</v>
      </c>
      <c r="H22" s="28" t="s">
        <v>90</v>
      </c>
      <c r="I22" s="28" t="s">
        <v>91</v>
      </c>
      <c r="J22" s="5" t="s">
        <v>70</v>
      </c>
      <c r="K22" s="5" t="s">
        <v>70</v>
      </c>
      <c r="L22" s="6" t="s">
        <v>78</v>
      </c>
      <c r="M22" s="6" t="s">
        <v>78</v>
      </c>
      <c r="N22" s="6" t="s">
        <v>69</v>
      </c>
    </row>
    <row r="23" spans="1:14" x14ac:dyDescent="0.2">
      <c r="A23">
        <v>4.3</v>
      </c>
      <c r="B23" s="4" t="str">
        <f>VLOOKUP(D23,'[1]Backlog Priorizado'!$B$5:$G$30,6,0)</f>
        <v>3-4</v>
      </c>
      <c r="C23" s="13" t="s">
        <v>82</v>
      </c>
      <c r="D23" s="4" t="s">
        <v>30</v>
      </c>
      <c r="E23" s="21">
        <v>46197</v>
      </c>
      <c r="F23" s="20">
        <v>46199</v>
      </c>
      <c r="G23" s="6" t="s">
        <v>17</v>
      </c>
      <c r="H23" s="6" t="s">
        <v>18</v>
      </c>
      <c r="I23" s="6" t="s">
        <v>19</v>
      </c>
      <c r="J23" s="5" t="s">
        <v>70</v>
      </c>
      <c r="K23" s="5" t="s">
        <v>70</v>
      </c>
      <c r="L23" s="6" t="s">
        <v>78</v>
      </c>
      <c r="M23" s="6" t="s">
        <v>78</v>
      </c>
      <c r="N23" s="6" t="s">
        <v>69</v>
      </c>
    </row>
    <row r="24" spans="1:14" x14ac:dyDescent="0.2">
      <c r="A24">
        <v>4.4000000000000004</v>
      </c>
      <c r="B24" s="4" t="str">
        <f>VLOOKUP(D24,'[1]Backlog Priorizado'!$B$5:$G$30,6,0)</f>
        <v>3-4</v>
      </c>
      <c r="C24" s="13" t="s">
        <v>82</v>
      </c>
      <c r="D24" s="4" t="s">
        <v>30</v>
      </c>
      <c r="E24" s="21">
        <v>46197</v>
      </c>
      <c r="F24" s="20">
        <v>46199</v>
      </c>
      <c r="G24" s="6" t="s">
        <v>28</v>
      </c>
      <c r="H24" s="6" t="s">
        <v>73</v>
      </c>
      <c r="I24" s="6" t="s">
        <v>74</v>
      </c>
      <c r="J24" s="5" t="s">
        <v>70</v>
      </c>
      <c r="K24" s="5" t="s">
        <v>70</v>
      </c>
      <c r="L24" s="6" t="s">
        <v>78</v>
      </c>
      <c r="M24" s="6" t="s">
        <v>78</v>
      </c>
      <c r="N24" s="6" t="s">
        <v>69</v>
      </c>
    </row>
    <row r="25" spans="1:14" x14ac:dyDescent="0.2">
      <c r="A25">
        <v>4.5</v>
      </c>
      <c r="B25" s="4" t="str">
        <f>VLOOKUP(D25,'[1]Backlog Priorizado'!$B$5:$G$30,6,0)</f>
        <v>3-4</v>
      </c>
      <c r="C25" s="13" t="s">
        <v>82</v>
      </c>
      <c r="D25" s="4" t="s">
        <v>30</v>
      </c>
      <c r="E25" s="21">
        <v>46197</v>
      </c>
      <c r="F25" s="20">
        <v>46199</v>
      </c>
      <c r="G25" s="6" t="s">
        <v>20</v>
      </c>
      <c r="H25" s="6" t="s">
        <v>21</v>
      </c>
      <c r="I25" s="6" t="s">
        <v>22</v>
      </c>
      <c r="J25" s="5" t="s">
        <v>70</v>
      </c>
      <c r="K25" s="5" t="s">
        <v>70</v>
      </c>
      <c r="L25" s="6" t="s">
        <v>78</v>
      </c>
      <c r="M25" s="6" t="s">
        <v>78</v>
      </c>
      <c r="N25" s="6" t="s">
        <v>69</v>
      </c>
    </row>
    <row r="26" spans="1:14" x14ac:dyDescent="0.2">
      <c r="A26">
        <v>5.0999999999999996</v>
      </c>
      <c r="B26" s="4" t="str">
        <f>VLOOKUP(D26,'[1]Backlog Priorizado'!$B$5:$G$30,6,0)</f>
        <v>3-4</v>
      </c>
      <c r="C26" s="13" t="s">
        <v>82</v>
      </c>
      <c r="D26" s="4" t="s">
        <v>31</v>
      </c>
      <c r="E26" s="21">
        <v>46198</v>
      </c>
      <c r="F26" s="20">
        <v>46199</v>
      </c>
      <c r="G26" s="6" t="s">
        <v>14</v>
      </c>
      <c r="H26" s="6" t="s">
        <v>15</v>
      </c>
      <c r="I26" s="6" t="s">
        <v>16</v>
      </c>
      <c r="J26" s="5" t="s">
        <v>70</v>
      </c>
      <c r="K26" s="5" t="s">
        <v>70</v>
      </c>
      <c r="L26" s="6" t="s">
        <v>78</v>
      </c>
      <c r="M26" s="6" t="s">
        <v>78</v>
      </c>
      <c r="N26" s="6" t="s">
        <v>69</v>
      </c>
    </row>
    <row r="27" spans="1:14" x14ac:dyDescent="0.2">
      <c r="A27">
        <v>5.2</v>
      </c>
      <c r="B27" s="13" t="s">
        <v>63</v>
      </c>
      <c r="C27" s="13" t="s">
        <v>82</v>
      </c>
      <c r="D27" s="4" t="s">
        <v>31</v>
      </c>
      <c r="E27" s="21">
        <v>46198</v>
      </c>
      <c r="F27" s="20">
        <v>46199</v>
      </c>
      <c r="G27" s="28" t="s">
        <v>89</v>
      </c>
      <c r="H27" s="28" t="s">
        <v>90</v>
      </c>
      <c r="I27" s="28" t="s">
        <v>91</v>
      </c>
      <c r="J27" s="5" t="s">
        <v>70</v>
      </c>
      <c r="K27" s="5" t="s">
        <v>70</v>
      </c>
      <c r="L27" s="6" t="s">
        <v>78</v>
      </c>
      <c r="M27" s="6" t="s">
        <v>78</v>
      </c>
      <c r="N27" s="6" t="s">
        <v>69</v>
      </c>
    </row>
    <row r="28" spans="1:14" x14ac:dyDescent="0.2">
      <c r="A28">
        <v>5.3</v>
      </c>
      <c r="B28" s="4" t="str">
        <f>VLOOKUP(D28,'[1]Backlog Priorizado'!$B$5:$G$30,6,0)</f>
        <v>3-4</v>
      </c>
      <c r="C28" s="13" t="s">
        <v>82</v>
      </c>
      <c r="D28" s="4" t="s">
        <v>31</v>
      </c>
      <c r="E28" s="21">
        <v>46198</v>
      </c>
      <c r="F28" s="20">
        <v>46199</v>
      </c>
      <c r="G28" s="6" t="s">
        <v>17</v>
      </c>
      <c r="H28" s="6" t="s">
        <v>18</v>
      </c>
      <c r="I28" s="6" t="s">
        <v>19</v>
      </c>
      <c r="J28" s="5" t="s">
        <v>70</v>
      </c>
      <c r="K28" s="5" t="s">
        <v>70</v>
      </c>
      <c r="L28" s="6" t="s">
        <v>78</v>
      </c>
      <c r="M28" s="6" t="s">
        <v>78</v>
      </c>
      <c r="N28" s="6" t="s">
        <v>69</v>
      </c>
    </row>
    <row r="29" spans="1:14" x14ac:dyDescent="0.2">
      <c r="A29">
        <v>5.4</v>
      </c>
      <c r="B29" s="4" t="str">
        <f>VLOOKUP(D29,'[1]Backlog Priorizado'!$B$5:$G$30,6,0)</f>
        <v>3-4</v>
      </c>
      <c r="C29" s="13" t="s">
        <v>82</v>
      </c>
      <c r="D29" s="4" t="s">
        <v>31</v>
      </c>
      <c r="E29" s="21">
        <v>46198</v>
      </c>
      <c r="F29" s="20">
        <v>46199</v>
      </c>
      <c r="G29" s="6" t="s">
        <v>28</v>
      </c>
      <c r="H29" s="6" t="s">
        <v>73</v>
      </c>
      <c r="I29" s="6" t="s">
        <v>74</v>
      </c>
      <c r="J29" s="5" t="s">
        <v>70</v>
      </c>
      <c r="K29" s="5" t="s">
        <v>70</v>
      </c>
      <c r="L29" s="6" t="s">
        <v>78</v>
      </c>
      <c r="M29" s="6" t="s">
        <v>78</v>
      </c>
      <c r="N29" s="6" t="s">
        <v>69</v>
      </c>
    </row>
    <row r="30" spans="1:14" x14ac:dyDescent="0.2">
      <c r="A30">
        <v>5.5</v>
      </c>
      <c r="B30" s="4" t="str">
        <f>VLOOKUP(D30,'[1]Backlog Priorizado'!$B$5:$G$30,6,0)</f>
        <v>3-4</v>
      </c>
      <c r="C30" s="13" t="s">
        <v>82</v>
      </c>
      <c r="D30" s="4" t="s">
        <v>31</v>
      </c>
      <c r="E30" s="21">
        <v>46198</v>
      </c>
      <c r="F30" s="20">
        <v>46199</v>
      </c>
      <c r="G30" s="6" t="s">
        <v>20</v>
      </c>
      <c r="H30" s="6" t="s">
        <v>21</v>
      </c>
      <c r="I30" s="6" t="s">
        <v>22</v>
      </c>
      <c r="J30" s="5" t="s">
        <v>70</v>
      </c>
      <c r="K30" s="5" t="s">
        <v>70</v>
      </c>
      <c r="L30" s="6" t="s">
        <v>78</v>
      </c>
      <c r="M30" s="6" t="s">
        <v>78</v>
      </c>
      <c r="N30" s="6" t="s">
        <v>69</v>
      </c>
    </row>
    <row r="31" spans="1:14" x14ac:dyDescent="0.2">
      <c r="A31">
        <v>6.1</v>
      </c>
      <c r="B31" s="4" t="str">
        <f>VLOOKUP(D31,'[1]Backlog Priorizado'!$B$5:$G$30,6,0)</f>
        <v>3-4</v>
      </c>
      <c r="C31" s="13" t="s">
        <v>82</v>
      </c>
      <c r="D31" s="4" t="s">
        <v>32</v>
      </c>
      <c r="E31" s="21">
        <v>46199</v>
      </c>
      <c r="F31" s="20">
        <v>46199</v>
      </c>
      <c r="G31" s="6" t="s">
        <v>14</v>
      </c>
      <c r="H31" s="6" t="s">
        <v>15</v>
      </c>
      <c r="I31" s="6" t="s">
        <v>16</v>
      </c>
      <c r="J31" s="5" t="s">
        <v>70</v>
      </c>
      <c r="K31" s="5" t="s">
        <v>70</v>
      </c>
      <c r="L31" s="6" t="s">
        <v>78</v>
      </c>
      <c r="M31" s="6" t="s">
        <v>78</v>
      </c>
      <c r="N31" s="6" t="s">
        <v>69</v>
      </c>
    </row>
    <row r="32" spans="1:14" x14ac:dyDescent="0.2">
      <c r="A32">
        <v>6.2</v>
      </c>
      <c r="B32" s="13" t="s">
        <v>63</v>
      </c>
      <c r="C32" s="13" t="s">
        <v>82</v>
      </c>
      <c r="D32" s="4" t="s">
        <v>32</v>
      </c>
      <c r="E32" s="21">
        <v>46199</v>
      </c>
      <c r="F32" s="20">
        <v>46199</v>
      </c>
      <c r="G32" s="28" t="s">
        <v>89</v>
      </c>
      <c r="H32" s="28" t="s">
        <v>90</v>
      </c>
      <c r="I32" s="28" t="s">
        <v>91</v>
      </c>
      <c r="J32" s="5" t="s">
        <v>70</v>
      </c>
      <c r="K32" s="5" t="s">
        <v>70</v>
      </c>
      <c r="L32" s="6" t="s">
        <v>78</v>
      </c>
      <c r="M32" s="6" t="s">
        <v>78</v>
      </c>
      <c r="N32" s="6" t="s">
        <v>69</v>
      </c>
    </row>
    <row r="33" spans="1:14" x14ac:dyDescent="0.2">
      <c r="A33">
        <v>6.3</v>
      </c>
      <c r="B33" s="4" t="str">
        <f>VLOOKUP(D33,'[1]Backlog Priorizado'!$B$5:$G$30,6,0)</f>
        <v>3-4</v>
      </c>
      <c r="C33" s="13" t="s">
        <v>82</v>
      </c>
      <c r="D33" s="4" t="s">
        <v>32</v>
      </c>
      <c r="E33" s="21">
        <v>46199</v>
      </c>
      <c r="F33" s="20">
        <v>46199</v>
      </c>
      <c r="G33" s="6" t="s">
        <v>17</v>
      </c>
      <c r="H33" s="6" t="s">
        <v>18</v>
      </c>
      <c r="I33" s="6" t="s">
        <v>19</v>
      </c>
      <c r="J33" s="5" t="s">
        <v>70</v>
      </c>
      <c r="K33" s="5" t="s">
        <v>70</v>
      </c>
      <c r="L33" s="6" t="s">
        <v>78</v>
      </c>
      <c r="M33" s="6" t="s">
        <v>78</v>
      </c>
      <c r="N33" s="6" t="s">
        <v>69</v>
      </c>
    </row>
    <row r="34" spans="1:14" x14ac:dyDescent="0.2">
      <c r="A34">
        <v>6.4</v>
      </c>
      <c r="B34" s="4" t="str">
        <f>VLOOKUP(D34,'[1]Backlog Priorizado'!$B$5:$G$30,6,0)</f>
        <v>3-4</v>
      </c>
      <c r="C34" s="13" t="s">
        <v>82</v>
      </c>
      <c r="D34" s="4" t="s">
        <v>32</v>
      </c>
      <c r="E34" s="21">
        <v>46199</v>
      </c>
      <c r="F34" s="20">
        <v>46199</v>
      </c>
      <c r="G34" s="6" t="s">
        <v>28</v>
      </c>
      <c r="H34" s="6" t="s">
        <v>73</v>
      </c>
      <c r="I34" s="6" t="s">
        <v>74</v>
      </c>
      <c r="J34" s="5" t="s">
        <v>70</v>
      </c>
      <c r="K34" s="5" t="s">
        <v>70</v>
      </c>
      <c r="L34" s="6" t="s">
        <v>78</v>
      </c>
      <c r="M34" s="6" t="s">
        <v>78</v>
      </c>
      <c r="N34" s="6" t="s">
        <v>69</v>
      </c>
    </row>
    <row r="35" spans="1:14" x14ac:dyDescent="0.2">
      <c r="A35">
        <v>6.5</v>
      </c>
      <c r="B35" s="4" t="str">
        <f>VLOOKUP(D35,'[1]Backlog Priorizado'!$B$5:$G$30,6,0)</f>
        <v>3-4</v>
      </c>
      <c r="C35" s="13" t="s">
        <v>82</v>
      </c>
      <c r="D35" s="4" t="s">
        <v>32</v>
      </c>
      <c r="E35" s="21">
        <v>46199</v>
      </c>
      <c r="F35" s="20">
        <v>46199</v>
      </c>
      <c r="G35" s="6" t="s">
        <v>20</v>
      </c>
      <c r="H35" s="6" t="s">
        <v>21</v>
      </c>
      <c r="I35" s="6" t="s">
        <v>22</v>
      </c>
      <c r="J35" s="5" t="s">
        <v>70</v>
      </c>
      <c r="K35" s="5" t="s">
        <v>70</v>
      </c>
      <c r="L35" s="6" t="s">
        <v>78</v>
      </c>
      <c r="M35" s="6" t="s">
        <v>78</v>
      </c>
      <c r="N35" s="6" t="s">
        <v>69</v>
      </c>
    </row>
    <row r="36" spans="1:14" x14ac:dyDescent="0.2">
      <c r="A36">
        <v>7.1</v>
      </c>
      <c r="B36" s="4" t="str">
        <f>VLOOKUP(D36,'[1]Backlog Priorizado'!$B$5:$G$30,6,0)</f>
        <v>3-4</v>
      </c>
      <c r="C36" s="13" t="s">
        <v>82</v>
      </c>
      <c r="D36" s="4" t="s">
        <v>33</v>
      </c>
      <c r="E36" s="21">
        <v>46200</v>
      </c>
      <c r="F36" s="20">
        <v>46199</v>
      </c>
      <c r="G36" s="6" t="s">
        <v>14</v>
      </c>
      <c r="H36" s="6" t="s">
        <v>15</v>
      </c>
      <c r="I36" s="6" t="s">
        <v>16</v>
      </c>
      <c r="J36" s="5" t="s">
        <v>70</v>
      </c>
      <c r="K36" s="5" t="s">
        <v>70</v>
      </c>
      <c r="L36" s="6" t="s">
        <v>78</v>
      </c>
      <c r="M36" s="6" t="s">
        <v>78</v>
      </c>
      <c r="N36" s="6" t="s">
        <v>69</v>
      </c>
    </row>
    <row r="37" spans="1:14" x14ac:dyDescent="0.2">
      <c r="A37">
        <v>7.2</v>
      </c>
      <c r="B37" s="13" t="s">
        <v>63</v>
      </c>
      <c r="C37" s="13" t="s">
        <v>82</v>
      </c>
      <c r="D37" s="4" t="s">
        <v>33</v>
      </c>
      <c r="E37" s="21">
        <v>46200</v>
      </c>
      <c r="F37" s="20">
        <v>46199</v>
      </c>
      <c r="G37" s="28" t="s">
        <v>89</v>
      </c>
      <c r="H37" s="28" t="s">
        <v>90</v>
      </c>
      <c r="I37" s="28" t="s">
        <v>91</v>
      </c>
      <c r="J37" s="5" t="s">
        <v>70</v>
      </c>
      <c r="K37" s="5" t="s">
        <v>70</v>
      </c>
      <c r="L37" s="6" t="s">
        <v>78</v>
      </c>
      <c r="M37" s="6" t="s">
        <v>78</v>
      </c>
      <c r="N37" s="6" t="s">
        <v>69</v>
      </c>
    </row>
    <row r="38" spans="1:14" x14ac:dyDescent="0.2">
      <c r="A38">
        <v>7.3</v>
      </c>
      <c r="B38" s="4" t="str">
        <f>VLOOKUP(D38,'[1]Backlog Priorizado'!$B$5:$G$30,6,0)</f>
        <v>3-4</v>
      </c>
      <c r="C38" s="13" t="s">
        <v>82</v>
      </c>
      <c r="D38" s="4" t="s">
        <v>33</v>
      </c>
      <c r="E38" s="21">
        <v>46200</v>
      </c>
      <c r="F38" s="21">
        <v>46199</v>
      </c>
      <c r="G38" s="6" t="s">
        <v>17</v>
      </c>
      <c r="H38" s="6" t="s">
        <v>18</v>
      </c>
      <c r="I38" s="6" t="s">
        <v>19</v>
      </c>
      <c r="J38" s="5" t="s">
        <v>70</v>
      </c>
      <c r="K38" s="5" t="s">
        <v>70</v>
      </c>
      <c r="L38" s="6" t="s">
        <v>78</v>
      </c>
      <c r="M38" s="6" t="s">
        <v>78</v>
      </c>
      <c r="N38" s="6" t="s">
        <v>69</v>
      </c>
    </row>
    <row r="39" spans="1:14" x14ac:dyDescent="0.2">
      <c r="A39">
        <v>7.4</v>
      </c>
      <c r="B39" s="4" t="str">
        <f>VLOOKUP(D39,'[1]Backlog Priorizado'!$B$5:$G$30,6,0)</f>
        <v>3-4</v>
      </c>
      <c r="C39" s="13" t="s">
        <v>82</v>
      </c>
      <c r="D39" s="4" t="s">
        <v>33</v>
      </c>
      <c r="E39" s="21">
        <v>46200</v>
      </c>
      <c r="F39" s="21">
        <v>46199</v>
      </c>
      <c r="G39" s="6" t="s">
        <v>28</v>
      </c>
      <c r="H39" s="6" t="s">
        <v>73</v>
      </c>
      <c r="I39" s="6" t="s">
        <v>74</v>
      </c>
      <c r="J39" s="5" t="s">
        <v>70</v>
      </c>
      <c r="K39" s="5" t="s">
        <v>70</v>
      </c>
      <c r="L39" s="6" t="s">
        <v>78</v>
      </c>
      <c r="M39" s="6" t="s">
        <v>78</v>
      </c>
      <c r="N39" s="6" t="s">
        <v>69</v>
      </c>
    </row>
    <row r="40" spans="1:14" x14ac:dyDescent="0.2">
      <c r="A40">
        <v>7.5</v>
      </c>
      <c r="B40" s="4" t="str">
        <f>VLOOKUP(D40,'[1]Backlog Priorizado'!$B$5:$G$30,6,0)</f>
        <v>3-4</v>
      </c>
      <c r="C40" s="13" t="s">
        <v>82</v>
      </c>
      <c r="D40" s="4" t="s">
        <v>33</v>
      </c>
      <c r="E40" s="21">
        <v>46200</v>
      </c>
      <c r="F40" s="21">
        <v>46199</v>
      </c>
      <c r="G40" s="6" t="s">
        <v>20</v>
      </c>
      <c r="H40" s="6" t="s">
        <v>21</v>
      </c>
      <c r="I40" s="6" t="s">
        <v>22</v>
      </c>
      <c r="J40" s="5" t="s">
        <v>70</v>
      </c>
      <c r="K40" s="5" t="s">
        <v>70</v>
      </c>
      <c r="L40" s="6" t="s">
        <v>78</v>
      </c>
      <c r="M40" s="6" t="s">
        <v>78</v>
      </c>
      <c r="N40" s="6" t="s">
        <v>69</v>
      </c>
    </row>
    <row r="41" spans="1:14" ht="15" customHeight="1" x14ac:dyDescent="0.2">
      <c r="D41" s="30"/>
      <c r="E41" s="30"/>
      <c r="F41" s="30"/>
      <c r="G41" s="30"/>
      <c r="H41" s="32" t="s">
        <v>72</v>
      </c>
      <c r="I41" s="24"/>
      <c r="J41" s="30"/>
      <c r="K41" s="30"/>
      <c r="L41" s="30"/>
      <c r="M41" s="30"/>
      <c r="N41" s="31"/>
    </row>
    <row r="42" spans="1:14" x14ac:dyDescent="0.2">
      <c r="A42">
        <v>8.1</v>
      </c>
      <c r="B42" s="4" t="str">
        <f>VLOOKUP(D42,'[1]Backlog Priorizado'!$B$5:$G$30,6,0)</f>
        <v>4-5</v>
      </c>
      <c r="C42" s="13" t="s">
        <v>83</v>
      </c>
      <c r="D42" s="4" t="s">
        <v>34</v>
      </c>
      <c r="E42" s="21">
        <v>46204</v>
      </c>
      <c r="F42" s="17"/>
      <c r="G42" s="6" t="s">
        <v>14</v>
      </c>
      <c r="H42" s="6" t="s">
        <v>15</v>
      </c>
      <c r="I42" s="6" t="s">
        <v>16</v>
      </c>
      <c r="J42" s="5"/>
      <c r="K42" s="5"/>
      <c r="L42" s="6"/>
      <c r="M42" s="6"/>
      <c r="N42" s="6" t="s">
        <v>95</v>
      </c>
    </row>
    <row r="43" spans="1:14" x14ac:dyDescent="0.2">
      <c r="A43">
        <v>8.1999999999999993</v>
      </c>
      <c r="B43" s="13" t="s">
        <v>64</v>
      </c>
      <c r="C43" s="13" t="s">
        <v>83</v>
      </c>
      <c r="D43" s="4" t="s">
        <v>34</v>
      </c>
      <c r="E43" s="21">
        <v>46204</v>
      </c>
      <c r="F43" s="17"/>
      <c r="G43" s="28" t="s">
        <v>89</v>
      </c>
      <c r="H43" s="28" t="s">
        <v>90</v>
      </c>
      <c r="I43" s="28" t="s">
        <v>91</v>
      </c>
      <c r="J43" s="26"/>
      <c r="K43" s="26"/>
      <c r="L43" s="26"/>
      <c r="M43" s="26"/>
      <c r="N43" s="6" t="s">
        <v>95</v>
      </c>
    </row>
    <row r="44" spans="1:14" x14ac:dyDescent="0.2">
      <c r="A44">
        <v>8.3000000000000007</v>
      </c>
      <c r="B44" s="4" t="str">
        <f>VLOOKUP(D44,'[1]Backlog Priorizado'!$B$5:$G$30,6,0)</f>
        <v>4-5</v>
      </c>
      <c r="C44" s="13" t="s">
        <v>83</v>
      </c>
      <c r="D44" s="4" t="s">
        <v>34</v>
      </c>
      <c r="E44" s="21">
        <v>46204</v>
      </c>
      <c r="F44" s="17"/>
      <c r="G44" s="6" t="s">
        <v>17</v>
      </c>
      <c r="H44" s="6" t="s">
        <v>18</v>
      </c>
      <c r="I44" s="6" t="s">
        <v>19</v>
      </c>
      <c r="J44" s="5"/>
      <c r="K44" s="5"/>
      <c r="L44" s="6"/>
      <c r="M44" s="6"/>
      <c r="N44" s="6" t="s">
        <v>95</v>
      </c>
    </row>
    <row r="45" spans="1:14" x14ac:dyDescent="0.2">
      <c r="A45">
        <v>8.4</v>
      </c>
      <c r="B45" s="4" t="str">
        <f>VLOOKUP(D45,'[1]Backlog Priorizado'!$B$5:$G$30,6,0)</f>
        <v>4-5</v>
      </c>
      <c r="C45" s="13" t="s">
        <v>83</v>
      </c>
      <c r="D45" s="4" t="s">
        <v>34</v>
      </c>
      <c r="E45" s="21">
        <v>46204</v>
      </c>
      <c r="F45" s="17"/>
      <c r="G45" s="6" t="s">
        <v>28</v>
      </c>
      <c r="H45" s="6" t="s">
        <v>73</v>
      </c>
      <c r="I45" s="6" t="s">
        <v>74</v>
      </c>
      <c r="J45" s="5"/>
      <c r="K45" s="5"/>
      <c r="L45" s="6"/>
      <c r="M45" s="6"/>
      <c r="N45" s="6" t="s">
        <v>95</v>
      </c>
    </row>
    <row r="46" spans="1:14" x14ac:dyDescent="0.2">
      <c r="A46">
        <v>8.5</v>
      </c>
      <c r="B46" s="4" t="str">
        <f>VLOOKUP(D46,'[1]Backlog Priorizado'!$B$5:$G$30,6,0)</f>
        <v>4-5</v>
      </c>
      <c r="C46" s="13" t="s">
        <v>83</v>
      </c>
      <c r="D46" s="4" t="s">
        <v>34</v>
      </c>
      <c r="E46" s="21">
        <v>46204</v>
      </c>
      <c r="F46" s="17"/>
      <c r="G46" s="6" t="s">
        <v>20</v>
      </c>
      <c r="H46" s="6" t="s">
        <v>21</v>
      </c>
      <c r="I46" s="6" t="s">
        <v>22</v>
      </c>
      <c r="J46" s="5"/>
      <c r="K46" s="5"/>
      <c r="L46" s="6"/>
      <c r="M46" s="6"/>
      <c r="N46" s="6" t="s">
        <v>95</v>
      </c>
    </row>
    <row r="47" spans="1:14" x14ac:dyDescent="0.2">
      <c r="A47">
        <v>9.1</v>
      </c>
      <c r="B47" s="4" t="str">
        <f>VLOOKUP(D47,'[1]Backlog Priorizado'!$B$5:$G$30,6,0)</f>
        <v>4-5</v>
      </c>
      <c r="C47" s="13" t="s">
        <v>83</v>
      </c>
      <c r="D47" s="4" t="s">
        <v>35</v>
      </c>
      <c r="E47" s="21">
        <v>46205</v>
      </c>
      <c r="F47" s="21"/>
      <c r="G47" s="6" t="s">
        <v>14</v>
      </c>
      <c r="H47" s="6" t="s">
        <v>15</v>
      </c>
      <c r="I47" s="6" t="s">
        <v>16</v>
      </c>
      <c r="J47" s="5"/>
      <c r="K47" s="5"/>
      <c r="L47" s="6"/>
      <c r="M47" s="6"/>
      <c r="N47" s="6" t="s">
        <v>95</v>
      </c>
    </row>
    <row r="48" spans="1:14" x14ac:dyDescent="0.2">
      <c r="A48">
        <v>9.1999999999999993</v>
      </c>
      <c r="B48" s="13" t="s">
        <v>64</v>
      </c>
      <c r="C48" s="13" t="s">
        <v>83</v>
      </c>
      <c r="D48" s="4" t="s">
        <v>35</v>
      </c>
      <c r="E48" s="21">
        <v>46205</v>
      </c>
      <c r="F48" s="21"/>
      <c r="G48" s="28" t="s">
        <v>89</v>
      </c>
      <c r="H48" s="28" t="s">
        <v>90</v>
      </c>
      <c r="I48" s="28" t="s">
        <v>91</v>
      </c>
      <c r="J48" s="26"/>
      <c r="K48" s="26"/>
      <c r="L48" s="26"/>
      <c r="M48" s="26"/>
      <c r="N48" s="6" t="s">
        <v>95</v>
      </c>
    </row>
    <row r="49" spans="1:14" x14ac:dyDescent="0.2">
      <c r="A49">
        <v>9.3000000000000007</v>
      </c>
      <c r="B49" s="4" t="str">
        <f>VLOOKUP(D49,'[1]Backlog Priorizado'!$B$5:$G$30,6,0)</f>
        <v>4-5</v>
      </c>
      <c r="C49" s="13" t="s">
        <v>83</v>
      </c>
      <c r="D49" s="4" t="s">
        <v>35</v>
      </c>
      <c r="E49" s="21">
        <v>46205</v>
      </c>
      <c r="F49" s="21"/>
      <c r="G49" s="6" t="s">
        <v>17</v>
      </c>
      <c r="H49" s="6" t="s">
        <v>18</v>
      </c>
      <c r="I49" s="6" t="s">
        <v>19</v>
      </c>
      <c r="J49" s="5"/>
      <c r="K49" s="5"/>
      <c r="L49" s="6"/>
      <c r="M49" s="6"/>
      <c r="N49" s="6" t="s">
        <v>95</v>
      </c>
    </row>
    <row r="50" spans="1:14" x14ac:dyDescent="0.2">
      <c r="A50">
        <v>9.4</v>
      </c>
      <c r="B50" s="4" t="str">
        <f>VLOOKUP(D50,'[1]Backlog Priorizado'!$B$5:$G$30,6,0)</f>
        <v>4-5</v>
      </c>
      <c r="C50" s="13" t="s">
        <v>83</v>
      </c>
      <c r="D50" s="4" t="s">
        <v>35</v>
      </c>
      <c r="E50" s="21">
        <v>46205</v>
      </c>
      <c r="F50" s="21"/>
      <c r="G50" s="6" t="s">
        <v>28</v>
      </c>
      <c r="H50" s="6" t="s">
        <v>73</v>
      </c>
      <c r="I50" s="6" t="s">
        <v>74</v>
      </c>
      <c r="J50" s="5"/>
      <c r="K50" s="5"/>
      <c r="L50" s="6"/>
      <c r="M50" s="6"/>
      <c r="N50" s="6" t="s">
        <v>95</v>
      </c>
    </row>
    <row r="51" spans="1:14" x14ac:dyDescent="0.2">
      <c r="A51">
        <v>9.5</v>
      </c>
      <c r="B51" s="4" t="str">
        <f>VLOOKUP(D51,'[1]Backlog Priorizado'!$B$5:$G$30,6,0)</f>
        <v>4-5</v>
      </c>
      <c r="C51" s="13" t="s">
        <v>83</v>
      </c>
      <c r="D51" s="4" t="s">
        <v>35</v>
      </c>
      <c r="E51" s="21">
        <v>46205</v>
      </c>
      <c r="F51" s="21"/>
      <c r="G51" s="6" t="s">
        <v>20</v>
      </c>
      <c r="H51" s="6" t="s">
        <v>21</v>
      </c>
      <c r="I51" s="6" t="s">
        <v>22</v>
      </c>
      <c r="J51" s="5"/>
      <c r="K51" s="5"/>
      <c r="L51" s="6"/>
      <c r="M51" s="6"/>
      <c r="N51" s="6" t="s">
        <v>95</v>
      </c>
    </row>
    <row r="52" spans="1:14" x14ac:dyDescent="0.2">
      <c r="A52">
        <v>10.1</v>
      </c>
      <c r="B52" s="4" t="str">
        <f>VLOOKUP(D52,'[1]Backlog Priorizado'!$B$5:$G$30,6,0)</f>
        <v>4-5</v>
      </c>
      <c r="C52" s="13" t="s">
        <v>83</v>
      </c>
      <c r="D52" s="4" t="s">
        <v>36</v>
      </c>
      <c r="E52" s="21">
        <v>46206</v>
      </c>
      <c r="F52" s="21"/>
      <c r="G52" s="6" t="s">
        <v>14</v>
      </c>
      <c r="H52" s="6" t="s">
        <v>15</v>
      </c>
      <c r="I52" s="6" t="s">
        <v>16</v>
      </c>
      <c r="J52" s="5"/>
      <c r="K52" s="5"/>
      <c r="L52" s="6"/>
      <c r="M52" s="6"/>
      <c r="N52" s="6" t="s">
        <v>95</v>
      </c>
    </row>
    <row r="53" spans="1:14" x14ac:dyDescent="0.2">
      <c r="A53">
        <v>10.199999999999999</v>
      </c>
      <c r="B53" s="13" t="s">
        <v>64</v>
      </c>
      <c r="C53" s="13" t="s">
        <v>83</v>
      </c>
      <c r="D53" s="4" t="s">
        <v>36</v>
      </c>
      <c r="E53" s="21">
        <v>46206</v>
      </c>
      <c r="F53" s="7"/>
      <c r="G53" s="28" t="s">
        <v>89</v>
      </c>
      <c r="H53" s="28" t="s">
        <v>90</v>
      </c>
      <c r="I53" s="28" t="s">
        <v>91</v>
      </c>
      <c r="J53" s="26"/>
      <c r="K53" s="26"/>
      <c r="L53" s="26"/>
      <c r="M53" s="26"/>
      <c r="N53" s="6" t="s">
        <v>95</v>
      </c>
    </row>
    <row r="54" spans="1:14" x14ac:dyDescent="0.2">
      <c r="A54">
        <v>10.3</v>
      </c>
      <c r="B54" s="4" t="str">
        <f>VLOOKUP(D54,'[1]Backlog Priorizado'!$B$5:$G$30,6,0)</f>
        <v>4-5</v>
      </c>
      <c r="C54" s="13" t="s">
        <v>83</v>
      </c>
      <c r="D54" s="4" t="s">
        <v>36</v>
      </c>
      <c r="E54" s="21">
        <v>46206</v>
      </c>
      <c r="F54" s="21"/>
      <c r="G54" s="6" t="s">
        <v>17</v>
      </c>
      <c r="H54" s="6" t="s">
        <v>18</v>
      </c>
      <c r="I54" s="6" t="s">
        <v>19</v>
      </c>
      <c r="J54" s="5"/>
      <c r="K54" s="5"/>
      <c r="L54" s="6"/>
      <c r="M54" s="6"/>
      <c r="N54" s="6" t="s">
        <v>95</v>
      </c>
    </row>
    <row r="55" spans="1:14" x14ac:dyDescent="0.2">
      <c r="A55">
        <v>10.4</v>
      </c>
      <c r="B55" s="4" t="str">
        <f>VLOOKUP(D55,'[1]Backlog Priorizado'!$B$5:$G$30,6,0)</f>
        <v>4-5</v>
      </c>
      <c r="C55" s="13" t="s">
        <v>83</v>
      </c>
      <c r="D55" s="4" t="s">
        <v>36</v>
      </c>
      <c r="E55" s="21">
        <v>46206</v>
      </c>
      <c r="F55" s="21"/>
      <c r="G55" s="6" t="s">
        <v>28</v>
      </c>
      <c r="H55" s="6" t="s">
        <v>73</v>
      </c>
      <c r="I55" s="6" t="s">
        <v>74</v>
      </c>
      <c r="J55" s="5"/>
      <c r="K55" s="5"/>
      <c r="L55" s="6"/>
      <c r="M55" s="6"/>
      <c r="N55" s="6" t="s">
        <v>95</v>
      </c>
    </row>
    <row r="56" spans="1:14" x14ac:dyDescent="0.2">
      <c r="A56">
        <v>10.5</v>
      </c>
      <c r="B56" s="4" t="str">
        <f>VLOOKUP(D56,'[1]Backlog Priorizado'!$B$5:$G$30,6,0)</f>
        <v>4-5</v>
      </c>
      <c r="C56" s="13" t="s">
        <v>83</v>
      </c>
      <c r="D56" s="4" t="s">
        <v>36</v>
      </c>
      <c r="E56" s="21">
        <v>46206</v>
      </c>
      <c r="F56" s="21"/>
      <c r="G56" s="6" t="s">
        <v>20</v>
      </c>
      <c r="H56" s="6" t="s">
        <v>21</v>
      </c>
      <c r="I56" s="6" t="s">
        <v>22</v>
      </c>
      <c r="J56" s="5"/>
      <c r="K56" s="5"/>
      <c r="L56" s="6"/>
      <c r="M56" s="6"/>
      <c r="N56" s="6" t="s">
        <v>95</v>
      </c>
    </row>
    <row r="57" spans="1:14" x14ac:dyDescent="0.2">
      <c r="A57">
        <v>11.1</v>
      </c>
      <c r="B57" s="4" t="str">
        <f>VLOOKUP(D57,'[1]Backlog Priorizado'!$B$5:$G$30,6,0)</f>
        <v>4-5</v>
      </c>
      <c r="C57" s="13" t="s">
        <v>83</v>
      </c>
      <c r="D57" s="4" t="s">
        <v>37</v>
      </c>
      <c r="E57" s="21">
        <v>46207</v>
      </c>
      <c r="F57" s="21"/>
      <c r="G57" s="6" t="s">
        <v>14</v>
      </c>
      <c r="H57" s="6" t="s">
        <v>15</v>
      </c>
      <c r="I57" s="6" t="s">
        <v>16</v>
      </c>
      <c r="J57" s="5"/>
      <c r="K57" s="5"/>
      <c r="L57" s="6"/>
      <c r="M57" s="6"/>
      <c r="N57" s="6" t="s">
        <v>95</v>
      </c>
    </row>
    <row r="58" spans="1:14" x14ac:dyDescent="0.2">
      <c r="A58">
        <v>11.2</v>
      </c>
      <c r="B58" s="13" t="s">
        <v>64</v>
      </c>
      <c r="C58" s="13" t="s">
        <v>83</v>
      </c>
      <c r="D58" s="4" t="s">
        <v>37</v>
      </c>
      <c r="E58" s="21">
        <v>46207</v>
      </c>
      <c r="F58" s="7"/>
      <c r="G58" s="28" t="s">
        <v>89</v>
      </c>
      <c r="H58" s="28" t="s">
        <v>90</v>
      </c>
      <c r="I58" s="28" t="s">
        <v>91</v>
      </c>
      <c r="J58" s="26"/>
      <c r="K58" s="26"/>
      <c r="L58" s="26"/>
      <c r="M58" s="26"/>
      <c r="N58" s="6" t="s">
        <v>95</v>
      </c>
    </row>
    <row r="59" spans="1:14" x14ac:dyDescent="0.2">
      <c r="A59">
        <v>11.3</v>
      </c>
      <c r="B59" s="4" t="str">
        <f>VLOOKUP(D59,'[1]Backlog Priorizado'!$B$5:$G$30,6,0)</f>
        <v>4-5</v>
      </c>
      <c r="C59" s="13" t="s">
        <v>83</v>
      </c>
      <c r="D59" s="4" t="s">
        <v>37</v>
      </c>
      <c r="E59" s="21">
        <v>46207</v>
      </c>
      <c r="F59" s="21"/>
      <c r="G59" s="6" t="s">
        <v>17</v>
      </c>
      <c r="H59" s="6" t="s">
        <v>18</v>
      </c>
      <c r="I59" s="6" t="s">
        <v>19</v>
      </c>
      <c r="J59" s="5"/>
      <c r="K59" s="5"/>
      <c r="L59" s="6"/>
      <c r="M59" s="6"/>
      <c r="N59" s="6" t="s">
        <v>95</v>
      </c>
    </row>
    <row r="60" spans="1:14" x14ac:dyDescent="0.2">
      <c r="A60">
        <v>11.4</v>
      </c>
      <c r="B60" s="4" t="str">
        <f>VLOOKUP(D60,'[1]Backlog Priorizado'!$B$5:$G$30,6,0)</f>
        <v>4-5</v>
      </c>
      <c r="C60" s="13" t="s">
        <v>83</v>
      </c>
      <c r="D60" s="4" t="s">
        <v>37</v>
      </c>
      <c r="E60" s="21">
        <v>46207</v>
      </c>
      <c r="F60" s="21"/>
      <c r="G60" s="6" t="s">
        <v>28</v>
      </c>
      <c r="H60" s="6" t="s">
        <v>73</v>
      </c>
      <c r="I60" s="6" t="s">
        <v>74</v>
      </c>
      <c r="J60" s="5"/>
      <c r="K60" s="5"/>
      <c r="L60" s="6"/>
      <c r="M60" s="6"/>
      <c r="N60" s="6" t="s">
        <v>95</v>
      </c>
    </row>
    <row r="61" spans="1:14" x14ac:dyDescent="0.2">
      <c r="A61">
        <v>11.5</v>
      </c>
      <c r="B61" s="4" t="str">
        <f>VLOOKUP(D61,'[1]Backlog Priorizado'!$B$5:$G$30,6,0)</f>
        <v>4-5</v>
      </c>
      <c r="C61" s="13" t="s">
        <v>83</v>
      </c>
      <c r="D61" s="4" t="s">
        <v>37</v>
      </c>
      <c r="E61" s="21">
        <v>46207</v>
      </c>
      <c r="F61" s="21"/>
      <c r="G61" s="6" t="s">
        <v>20</v>
      </c>
      <c r="H61" s="6" t="s">
        <v>21</v>
      </c>
      <c r="I61" s="6" t="s">
        <v>22</v>
      </c>
      <c r="J61" s="5"/>
      <c r="K61" s="5"/>
      <c r="L61" s="6"/>
      <c r="M61" s="6"/>
      <c r="N61" s="6" t="s">
        <v>95</v>
      </c>
    </row>
    <row r="62" spans="1:14" x14ac:dyDescent="0.2">
      <c r="A62">
        <v>12.1</v>
      </c>
      <c r="B62" s="4" t="str">
        <f>VLOOKUP(D62,'[1]Backlog Priorizado'!$B$5:$G$30,6,0)</f>
        <v>4-5</v>
      </c>
      <c r="C62" s="13" t="s">
        <v>83</v>
      </c>
      <c r="D62" s="4" t="s">
        <v>38</v>
      </c>
      <c r="E62" s="21">
        <v>46209</v>
      </c>
      <c r="F62" s="21"/>
      <c r="G62" s="6" t="s">
        <v>14</v>
      </c>
      <c r="H62" s="6" t="s">
        <v>15</v>
      </c>
      <c r="I62" s="6" t="s">
        <v>16</v>
      </c>
      <c r="J62" s="5"/>
      <c r="K62" s="5"/>
      <c r="L62" s="6"/>
      <c r="M62" s="6"/>
      <c r="N62" s="6" t="s">
        <v>95</v>
      </c>
    </row>
    <row r="63" spans="1:14" x14ac:dyDescent="0.2">
      <c r="A63">
        <v>12.2</v>
      </c>
      <c r="B63" s="13" t="s">
        <v>64</v>
      </c>
      <c r="C63" s="13" t="s">
        <v>83</v>
      </c>
      <c r="D63" s="4" t="s">
        <v>38</v>
      </c>
      <c r="E63" s="21">
        <v>46209</v>
      </c>
      <c r="F63" s="7"/>
      <c r="G63" s="28" t="s">
        <v>89</v>
      </c>
      <c r="H63" s="28" t="s">
        <v>90</v>
      </c>
      <c r="I63" s="28" t="s">
        <v>91</v>
      </c>
      <c r="J63" s="26"/>
      <c r="K63" s="26"/>
      <c r="L63" s="26"/>
      <c r="M63" s="26"/>
      <c r="N63" s="6" t="s">
        <v>95</v>
      </c>
    </row>
    <row r="64" spans="1:14" x14ac:dyDescent="0.2">
      <c r="A64">
        <v>12.3</v>
      </c>
      <c r="B64" s="4" t="str">
        <f>VLOOKUP(D64,'[1]Backlog Priorizado'!$B$5:$G$30,6,0)</f>
        <v>4-5</v>
      </c>
      <c r="C64" s="13" t="s">
        <v>83</v>
      </c>
      <c r="D64" s="4" t="s">
        <v>38</v>
      </c>
      <c r="E64" s="21">
        <v>46209</v>
      </c>
      <c r="F64" s="21"/>
      <c r="G64" s="6" t="s">
        <v>17</v>
      </c>
      <c r="H64" s="6" t="s">
        <v>18</v>
      </c>
      <c r="I64" s="6" t="s">
        <v>19</v>
      </c>
      <c r="J64" s="5"/>
      <c r="K64" s="5"/>
      <c r="L64" s="6"/>
      <c r="M64" s="6"/>
      <c r="N64" s="6" t="s">
        <v>95</v>
      </c>
    </row>
    <row r="65" spans="1:14" x14ac:dyDescent="0.2">
      <c r="A65">
        <v>12.4</v>
      </c>
      <c r="B65" s="4" t="str">
        <f>VLOOKUP(D65,'[1]Backlog Priorizado'!$B$5:$G$30,6,0)</f>
        <v>4-5</v>
      </c>
      <c r="C65" s="13" t="s">
        <v>83</v>
      </c>
      <c r="D65" s="4" t="s">
        <v>38</v>
      </c>
      <c r="E65" s="21">
        <v>46209</v>
      </c>
      <c r="F65" s="21"/>
      <c r="G65" s="6" t="s">
        <v>28</v>
      </c>
      <c r="H65" s="6" t="s">
        <v>73</v>
      </c>
      <c r="I65" s="6" t="s">
        <v>74</v>
      </c>
      <c r="J65" s="5"/>
      <c r="K65" s="5"/>
      <c r="L65" s="6"/>
      <c r="M65" s="6"/>
      <c r="N65" s="6" t="s">
        <v>95</v>
      </c>
    </row>
    <row r="66" spans="1:14" x14ac:dyDescent="0.2">
      <c r="A66">
        <v>12.5</v>
      </c>
      <c r="B66" s="4" t="str">
        <f>VLOOKUP(D66,'[1]Backlog Priorizado'!$B$5:$G$30,6,0)</f>
        <v>4-5</v>
      </c>
      <c r="C66" s="13" t="s">
        <v>83</v>
      </c>
      <c r="D66" s="4" t="s">
        <v>38</v>
      </c>
      <c r="E66" s="21">
        <v>46209</v>
      </c>
      <c r="F66" s="21"/>
      <c r="G66" s="6" t="s">
        <v>20</v>
      </c>
      <c r="H66" s="6" t="s">
        <v>21</v>
      </c>
      <c r="I66" s="6" t="s">
        <v>22</v>
      </c>
      <c r="J66" s="5"/>
      <c r="K66" s="5"/>
      <c r="L66" s="6"/>
      <c r="M66" s="6"/>
      <c r="N66" s="6" t="s">
        <v>95</v>
      </c>
    </row>
    <row r="67" spans="1:14" x14ac:dyDescent="0.2">
      <c r="A67">
        <v>13.1</v>
      </c>
      <c r="B67" s="4" t="str">
        <f>VLOOKUP(D67,'[1]Backlog Priorizado'!$B$5:$G$30,6,0)</f>
        <v>5-6</v>
      </c>
      <c r="C67" s="13" t="s">
        <v>84</v>
      </c>
      <c r="D67" s="4" t="s">
        <v>39</v>
      </c>
      <c r="E67" s="21">
        <v>46211</v>
      </c>
      <c r="F67" s="21"/>
      <c r="G67" s="6" t="s">
        <v>14</v>
      </c>
      <c r="H67" s="6" t="s">
        <v>15</v>
      </c>
      <c r="I67" s="6" t="s">
        <v>16</v>
      </c>
      <c r="J67" s="5"/>
      <c r="K67" s="5"/>
      <c r="L67" s="6"/>
      <c r="M67" s="6"/>
      <c r="N67" s="6"/>
    </row>
    <row r="68" spans="1:14" x14ac:dyDescent="0.2">
      <c r="A68">
        <v>13.2</v>
      </c>
      <c r="B68" s="13" t="s">
        <v>65</v>
      </c>
      <c r="C68" s="13" t="s">
        <v>84</v>
      </c>
      <c r="D68" s="4" t="s">
        <v>39</v>
      </c>
      <c r="E68" s="21">
        <v>46211</v>
      </c>
      <c r="F68" s="7"/>
      <c r="G68" s="28" t="s">
        <v>89</v>
      </c>
      <c r="H68" s="28" t="s">
        <v>90</v>
      </c>
      <c r="I68" s="28" t="s">
        <v>91</v>
      </c>
      <c r="J68" s="26"/>
      <c r="K68" s="26"/>
      <c r="L68" s="26"/>
      <c r="M68" s="26"/>
      <c r="N68" s="26"/>
    </row>
    <row r="69" spans="1:14" x14ac:dyDescent="0.2">
      <c r="A69">
        <v>13.3</v>
      </c>
      <c r="B69" s="4" t="str">
        <f>VLOOKUP(D69,'[1]Backlog Priorizado'!$B$5:$G$30,6,0)</f>
        <v>5-6</v>
      </c>
      <c r="C69" s="13" t="s">
        <v>84</v>
      </c>
      <c r="D69" s="4" t="s">
        <v>39</v>
      </c>
      <c r="E69" s="21">
        <v>46211</v>
      </c>
      <c r="F69" s="21"/>
      <c r="G69" s="6" t="s">
        <v>17</v>
      </c>
      <c r="H69" s="6" t="s">
        <v>18</v>
      </c>
      <c r="I69" s="6" t="s">
        <v>19</v>
      </c>
      <c r="J69" s="5"/>
      <c r="K69" s="5"/>
      <c r="L69" s="6"/>
      <c r="M69" s="6"/>
      <c r="N69" s="6"/>
    </row>
    <row r="70" spans="1:14" x14ac:dyDescent="0.2">
      <c r="A70">
        <v>13.4</v>
      </c>
      <c r="B70" s="4" t="str">
        <f>VLOOKUP(D70,'[1]Backlog Priorizado'!$B$5:$G$30,6,0)</f>
        <v>5-6</v>
      </c>
      <c r="C70" s="13" t="s">
        <v>84</v>
      </c>
      <c r="D70" s="4" t="s">
        <v>39</v>
      </c>
      <c r="E70" s="21">
        <v>46211</v>
      </c>
      <c r="F70" s="21"/>
      <c r="G70" s="6" t="s">
        <v>28</v>
      </c>
      <c r="H70" s="6" t="s">
        <v>73</v>
      </c>
      <c r="I70" s="6" t="s">
        <v>74</v>
      </c>
      <c r="J70" s="5"/>
      <c r="K70" s="5"/>
      <c r="L70" s="6"/>
      <c r="M70" s="6"/>
      <c r="N70" s="6"/>
    </row>
    <row r="71" spans="1:14" x14ac:dyDescent="0.2">
      <c r="A71">
        <v>13.5</v>
      </c>
      <c r="B71" s="4" t="str">
        <f>VLOOKUP(D71,'[1]Backlog Priorizado'!$B$5:$G$30,6,0)</f>
        <v>5-6</v>
      </c>
      <c r="C71" s="13" t="s">
        <v>84</v>
      </c>
      <c r="D71" s="4" t="s">
        <v>39</v>
      </c>
      <c r="E71" s="21">
        <v>46211</v>
      </c>
      <c r="F71" s="21"/>
      <c r="G71" s="6" t="s">
        <v>20</v>
      </c>
      <c r="H71" s="6" t="s">
        <v>21</v>
      </c>
      <c r="I71" s="6" t="s">
        <v>22</v>
      </c>
      <c r="J71" s="5"/>
      <c r="K71" s="5"/>
      <c r="L71" s="6"/>
      <c r="M71" s="6"/>
      <c r="N71" s="6"/>
    </row>
    <row r="72" spans="1:14" x14ac:dyDescent="0.2">
      <c r="A72">
        <v>14.1</v>
      </c>
      <c r="B72" s="4" t="str">
        <f>VLOOKUP(D72,'[1]Backlog Priorizado'!$B$5:$G$30,6,0)</f>
        <v>5-6</v>
      </c>
      <c r="C72" s="13" t="s">
        <v>84</v>
      </c>
      <c r="D72" s="4" t="s">
        <v>40</v>
      </c>
      <c r="E72" s="21">
        <v>46212</v>
      </c>
      <c r="F72" s="21"/>
      <c r="G72" s="6" t="s">
        <v>14</v>
      </c>
      <c r="H72" s="6" t="s">
        <v>15</v>
      </c>
      <c r="I72" s="6" t="s">
        <v>16</v>
      </c>
      <c r="J72" s="5"/>
      <c r="K72" s="5"/>
      <c r="L72" s="6"/>
      <c r="M72" s="6"/>
      <c r="N72" s="6"/>
    </row>
    <row r="73" spans="1:14" x14ac:dyDescent="0.2">
      <c r="A73">
        <v>14.2</v>
      </c>
      <c r="B73" s="13" t="s">
        <v>65</v>
      </c>
      <c r="C73" s="13" t="s">
        <v>84</v>
      </c>
      <c r="D73" s="4" t="s">
        <v>40</v>
      </c>
      <c r="E73" s="21">
        <v>46212</v>
      </c>
      <c r="F73" s="7"/>
      <c r="G73" s="28" t="s">
        <v>89</v>
      </c>
      <c r="H73" s="28" t="s">
        <v>90</v>
      </c>
      <c r="I73" s="28" t="s">
        <v>91</v>
      </c>
      <c r="J73" s="26"/>
      <c r="K73" s="26"/>
      <c r="L73" s="26"/>
      <c r="M73" s="26"/>
      <c r="N73" s="26"/>
    </row>
    <row r="74" spans="1:14" x14ac:dyDescent="0.2">
      <c r="A74">
        <v>14.3</v>
      </c>
      <c r="B74" s="4" t="str">
        <f>VLOOKUP(D74,'[1]Backlog Priorizado'!$B$5:$G$30,6,0)</f>
        <v>5-6</v>
      </c>
      <c r="C74" s="13" t="s">
        <v>84</v>
      </c>
      <c r="D74" s="4" t="s">
        <v>40</v>
      </c>
      <c r="E74" s="21">
        <v>46212</v>
      </c>
      <c r="F74" s="21"/>
      <c r="G74" s="6" t="s">
        <v>17</v>
      </c>
      <c r="H74" s="6" t="s">
        <v>18</v>
      </c>
      <c r="I74" s="6" t="s">
        <v>19</v>
      </c>
      <c r="J74" s="5"/>
      <c r="K74" s="5"/>
      <c r="L74" s="6"/>
      <c r="M74" s="6"/>
      <c r="N74" s="6"/>
    </row>
    <row r="75" spans="1:14" x14ac:dyDescent="0.2">
      <c r="A75">
        <v>14.4</v>
      </c>
      <c r="B75" s="4" t="str">
        <f>VLOOKUP(D75,'[1]Backlog Priorizado'!$B$5:$G$30,6,0)</f>
        <v>5-6</v>
      </c>
      <c r="C75" s="13" t="s">
        <v>84</v>
      </c>
      <c r="D75" s="4" t="s">
        <v>40</v>
      </c>
      <c r="E75" s="21">
        <v>46212</v>
      </c>
      <c r="F75" s="21"/>
      <c r="G75" s="6" t="s">
        <v>28</v>
      </c>
      <c r="H75" s="6" t="s">
        <v>73</v>
      </c>
      <c r="I75" s="6" t="s">
        <v>74</v>
      </c>
      <c r="J75" s="5"/>
      <c r="K75" s="5"/>
      <c r="L75" s="6"/>
      <c r="M75" s="6"/>
      <c r="N75" s="6"/>
    </row>
    <row r="76" spans="1:14" x14ac:dyDescent="0.2">
      <c r="A76">
        <v>14.5</v>
      </c>
      <c r="B76" s="4" t="str">
        <f>VLOOKUP(D76,'[1]Backlog Priorizado'!$B$5:$G$30,6,0)</f>
        <v>5-6</v>
      </c>
      <c r="C76" s="13" t="s">
        <v>84</v>
      </c>
      <c r="D76" s="4" t="s">
        <v>40</v>
      </c>
      <c r="E76" s="21">
        <v>46212</v>
      </c>
      <c r="F76" s="21"/>
      <c r="G76" s="6" t="s">
        <v>20</v>
      </c>
      <c r="H76" s="6" t="s">
        <v>21</v>
      </c>
      <c r="I76" s="6" t="s">
        <v>22</v>
      </c>
      <c r="J76" s="5"/>
      <c r="K76" s="5"/>
      <c r="L76" s="6"/>
      <c r="M76" s="6"/>
      <c r="N76" s="6"/>
    </row>
    <row r="77" spans="1:14" x14ac:dyDescent="0.2">
      <c r="A77">
        <v>15.1</v>
      </c>
      <c r="B77" s="4" t="str">
        <f>VLOOKUP(D77,'[1]Backlog Priorizado'!$B$5:$G$30,6,0)</f>
        <v>5-6</v>
      </c>
      <c r="C77" s="13" t="s">
        <v>84</v>
      </c>
      <c r="D77" s="4" t="s">
        <v>41</v>
      </c>
      <c r="E77" s="21">
        <v>46213</v>
      </c>
      <c r="F77" s="21"/>
      <c r="G77" s="6" t="s">
        <v>14</v>
      </c>
      <c r="H77" s="6" t="s">
        <v>15</v>
      </c>
      <c r="I77" s="6" t="s">
        <v>16</v>
      </c>
      <c r="J77" s="18"/>
      <c r="K77" s="18"/>
      <c r="L77" s="19"/>
      <c r="M77" s="19"/>
      <c r="N77" s="19"/>
    </row>
    <row r="78" spans="1:14" x14ac:dyDescent="0.2">
      <c r="A78">
        <v>15.2</v>
      </c>
      <c r="B78" s="13" t="s">
        <v>65</v>
      </c>
      <c r="C78" s="13" t="s">
        <v>84</v>
      </c>
      <c r="D78" s="4" t="s">
        <v>41</v>
      </c>
      <c r="E78" s="21">
        <v>46213</v>
      </c>
      <c r="F78" s="7"/>
      <c r="G78" s="28" t="s">
        <v>89</v>
      </c>
      <c r="H78" s="28" t="s">
        <v>90</v>
      </c>
      <c r="I78" s="28" t="s">
        <v>91</v>
      </c>
    </row>
    <row r="79" spans="1:14" x14ac:dyDescent="0.2">
      <c r="A79">
        <v>15.3</v>
      </c>
      <c r="B79" s="4" t="str">
        <f>VLOOKUP(D79,'[1]Backlog Priorizado'!$B$5:$G$30,6,0)</f>
        <v>5-6</v>
      </c>
      <c r="C79" s="13" t="s">
        <v>84</v>
      </c>
      <c r="D79" s="4" t="s">
        <v>41</v>
      </c>
      <c r="E79" s="21">
        <v>46213</v>
      </c>
      <c r="F79" s="21"/>
      <c r="G79" s="6" t="s">
        <v>17</v>
      </c>
      <c r="H79" s="6" t="s">
        <v>18</v>
      </c>
      <c r="I79" s="6" t="s">
        <v>19</v>
      </c>
      <c r="J79" s="18"/>
      <c r="K79" s="18"/>
      <c r="L79" s="19"/>
      <c r="M79" s="19"/>
      <c r="N79" s="19"/>
    </row>
    <row r="80" spans="1:14" x14ac:dyDescent="0.2">
      <c r="A80">
        <v>15.4</v>
      </c>
      <c r="B80" s="4" t="str">
        <f>VLOOKUP(D80,'[1]Backlog Priorizado'!$B$5:$G$30,6,0)</f>
        <v>5-6</v>
      </c>
      <c r="C80" s="13" t="s">
        <v>84</v>
      </c>
      <c r="D80" s="4" t="s">
        <v>41</v>
      </c>
      <c r="E80" s="21">
        <v>46213</v>
      </c>
      <c r="F80" s="21"/>
      <c r="G80" s="6" t="s">
        <v>28</v>
      </c>
      <c r="H80" s="6" t="s">
        <v>73</v>
      </c>
      <c r="I80" s="6" t="s">
        <v>74</v>
      </c>
      <c r="J80" s="18"/>
      <c r="K80" s="18"/>
      <c r="L80" s="19"/>
      <c r="M80" s="19"/>
      <c r="N80" s="19"/>
    </row>
    <row r="81" spans="1:14" x14ac:dyDescent="0.2">
      <c r="A81">
        <v>15.5</v>
      </c>
      <c r="B81" s="4" t="str">
        <f>VLOOKUP(D81,'[1]Backlog Priorizado'!$B$5:$G$30,6,0)</f>
        <v>5-6</v>
      </c>
      <c r="C81" s="13" t="s">
        <v>84</v>
      </c>
      <c r="D81" s="4" t="s">
        <v>41</v>
      </c>
      <c r="E81" s="21">
        <v>46213</v>
      </c>
      <c r="F81" s="21"/>
      <c r="G81" s="6" t="s">
        <v>20</v>
      </c>
      <c r="H81" s="6" t="s">
        <v>21</v>
      </c>
      <c r="I81" s="6" t="s">
        <v>22</v>
      </c>
      <c r="J81" s="18"/>
      <c r="K81" s="18"/>
      <c r="L81" s="19"/>
      <c r="M81" s="19"/>
      <c r="N81" s="19"/>
    </row>
    <row r="82" spans="1:14" x14ac:dyDescent="0.2">
      <c r="A82">
        <v>16.100000000000001</v>
      </c>
      <c r="B82" s="16" t="str">
        <f>VLOOKUP(D82,'[1]Backlog Priorizado'!$B$5:$G$30,6,0)</f>
        <v>5-6</v>
      </c>
      <c r="C82" s="16" t="s">
        <v>84</v>
      </c>
      <c r="D82" s="16" t="s">
        <v>42</v>
      </c>
      <c r="E82" s="21">
        <v>46214</v>
      </c>
      <c r="F82" s="21"/>
      <c r="G82" s="6" t="s">
        <v>14</v>
      </c>
      <c r="H82" s="6" t="s">
        <v>15</v>
      </c>
      <c r="I82" s="6" t="s">
        <v>16</v>
      </c>
      <c r="J82" s="18"/>
      <c r="K82" s="18"/>
      <c r="L82" s="19"/>
      <c r="M82" s="19"/>
      <c r="N82" s="19"/>
    </row>
    <row r="83" spans="1:14" x14ac:dyDescent="0.2">
      <c r="A83">
        <v>16.2</v>
      </c>
      <c r="B83" s="14" t="s">
        <v>65</v>
      </c>
      <c r="C83" s="14" t="s">
        <v>84</v>
      </c>
      <c r="D83" s="16" t="s">
        <v>42</v>
      </c>
      <c r="E83" s="21">
        <v>46214</v>
      </c>
      <c r="F83" s="7"/>
      <c r="G83" s="28" t="s">
        <v>89</v>
      </c>
      <c r="H83" s="28" t="s">
        <v>90</v>
      </c>
      <c r="I83" s="28" t="s">
        <v>91</v>
      </c>
    </row>
    <row r="84" spans="1:14" x14ac:dyDescent="0.2">
      <c r="A84">
        <v>16.3</v>
      </c>
      <c r="B84" s="16" t="str">
        <f>VLOOKUP(D84,'[1]Backlog Priorizado'!$B$5:$G$30,6,0)</f>
        <v>5-6</v>
      </c>
      <c r="C84" s="16" t="s">
        <v>84</v>
      </c>
      <c r="D84" s="16" t="s">
        <v>42</v>
      </c>
      <c r="E84" s="21">
        <v>46214</v>
      </c>
      <c r="F84" s="21"/>
      <c r="G84" s="6" t="s">
        <v>17</v>
      </c>
      <c r="H84" s="6" t="s">
        <v>18</v>
      </c>
      <c r="I84" s="6" t="s">
        <v>19</v>
      </c>
      <c r="J84" s="18"/>
      <c r="K84" s="18"/>
      <c r="L84" s="19"/>
      <c r="M84" s="19"/>
      <c r="N84" s="19"/>
    </row>
    <row r="85" spans="1:14" x14ac:dyDescent="0.2">
      <c r="A85">
        <v>16.399999999999999</v>
      </c>
      <c r="B85" s="16" t="str">
        <f>VLOOKUP(D85,'[1]Backlog Priorizado'!$B$5:$G$30,6,0)</f>
        <v>5-6</v>
      </c>
      <c r="C85" s="16" t="s">
        <v>84</v>
      </c>
      <c r="D85" s="16" t="s">
        <v>42</v>
      </c>
      <c r="E85" s="21">
        <v>46214</v>
      </c>
      <c r="F85" s="21"/>
      <c r="G85" s="6" t="s">
        <v>28</v>
      </c>
      <c r="H85" s="6" t="s">
        <v>73</v>
      </c>
      <c r="I85" s="6" t="s">
        <v>74</v>
      </c>
      <c r="J85" s="18"/>
      <c r="K85" s="18"/>
      <c r="L85" s="19"/>
      <c r="M85" s="19"/>
      <c r="N85" s="19"/>
    </row>
    <row r="86" spans="1:14" x14ac:dyDescent="0.2">
      <c r="A86">
        <v>16.5</v>
      </c>
      <c r="B86" s="16" t="str">
        <f>VLOOKUP(D86,'[1]Backlog Priorizado'!$B$5:$G$30,6,0)</f>
        <v>5-6</v>
      </c>
      <c r="C86" s="16" t="s">
        <v>84</v>
      </c>
      <c r="D86" s="16" t="s">
        <v>42</v>
      </c>
      <c r="E86" s="21">
        <v>46214</v>
      </c>
      <c r="F86" s="21"/>
      <c r="G86" s="6" t="s">
        <v>20</v>
      </c>
      <c r="H86" s="6" t="s">
        <v>21</v>
      </c>
      <c r="I86" s="6" t="s">
        <v>22</v>
      </c>
      <c r="J86" s="18"/>
      <c r="K86" s="18"/>
      <c r="L86" s="19"/>
      <c r="M86" s="19"/>
      <c r="N86" s="19"/>
    </row>
    <row r="87" spans="1:14" x14ac:dyDescent="0.2">
      <c r="A87">
        <v>17.100000000000001</v>
      </c>
      <c r="B87" s="14" t="str">
        <f>VLOOKUP(D87,'[1]Backlog Priorizado'!$B$5:$G$30,6,0)</f>
        <v>6-7</v>
      </c>
      <c r="C87" s="14" t="s">
        <v>85</v>
      </c>
      <c r="D87" s="16" t="s">
        <v>43</v>
      </c>
      <c r="E87" s="21">
        <v>46217</v>
      </c>
      <c r="F87" s="21"/>
      <c r="G87" s="6" t="s">
        <v>14</v>
      </c>
      <c r="H87" s="6" t="s">
        <v>15</v>
      </c>
      <c r="I87" s="6" t="s">
        <v>16</v>
      </c>
      <c r="J87" s="18"/>
      <c r="K87" s="18"/>
      <c r="L87" s="19"/>
      <c r="M87" s="19"/>
      <c r="N87" s="19"/>
    </row>
    <row r="88" spans="1:14" x14ac:dyDescent="0.2">
      <c r="A88">
        <v>17.2</v>
      </c>
      <c r="B88" s="14" t="s">
        <v>66</v>
      </c>
      <c r="C88" s="14" t="s">
        <v>85</v>
      </c>
      <c r="D88" s="16" t="s">
        <v>43</v>
      </c>
      <c r="E88" s="21">
        <v>46217</v>
      </c>
      <c r="F88" s="7"/>
      <c r="G88" s="28" t="s">
        <v>89</v>
      </c>
      <c r="H88" s="28" t="s">
        <v>90</v>
      </c>
      <c r="I88" s="28" t="s">
        <v>91</v>
      </c>
    </row>
    <row r="89" spans="1:14" x14ac:dyDescent="0.2">
      <c r="A89">
        <v>17.3</v>
      </c>
      <c r="B89" s="14" t="str">
        <f>VLOOKUP(D89,'[1]Backlog Priorizado'!$B$5:$G$30,6,0)</f>
        <v>6-7</v>
      </c>
      <c r="C89" s="14" t="s">
        <v>85</v>
      </c>
      <c r="D89" s="16" t="s">
        <v>43</v>
      </c>
      <c r="E89" s="21">
        <v>46217</v>
      </c>
      <c r="F89" s="21"/>
      <c r="G89" s="6" t="s">
        <v>17</v>
      </c>
      <c r="H89" s="6" t="s">
        <v>18</v>
      </c>
      <c r="I89" s="6" t="s">
        <v>19</v>
      </c>
      <c r="J89" s="18"/>
      <c r="K89" s="18"/>
      <c r="L89" s="19"/>
      <c r="M89" s="19"/>
      <c r="N89" s="19"/>
    </row>
    <row r="90" spans="1:14" x14ac:dyDescent="0.2">
      <c r="A90">
        <v>17.399999999999999</v>
      </c>
      <c r="B90" s="14" t="str">
        <f>VLOOKUP(D90,'[1]Backlog Priorizado'!$B$5:$G$30,6,0)</f>
        <v>6-7</v>
      </c>
      <c r="C90" s="14" t="s">
        <v>85</v>
      </c>
      <c r="D90" s="16" t="s">
        <v>43</v>
      </c>
      <c r="E90" s="21">
        <v>46217</v>
      </c>
      <c r="F90" s="21"/>
      <c r="G90" s="6" t="s">
        <v>28</v>
      </c>
      <c r="H90" s="6" t="s">
        <v>73</v>
      </c>
      <c r="I90" s="6" t="s">
        <v>74</v>
      </c>
      <c r="J90" s="18"/>
      <c r="K90" s="18"/>
      <c r="L90" s="19"/>
      <c r="M90" s="19"/>
      <c r="N90" s="19"/>
    </row>
    <row r="91" spans="1:14" x14ac:dyDescent="0.2">
      <c r="A91">
        <v>17.5</v>
      </c>
      <c r="B91" s="14" t="str">
        <f>VLOOKUP(D91,'[1]Backlog Priorizado'!$B$5:$G$30,6,0)</f>
        <v>6-7</v>
      </c>
      <c r="C91" s="14" t="s">
        <v>85</v>
      </c>
      <c r="D91" s="16" t="s">
        <v>43</v>
      </c>
      <c r="E91" s="21">
        <v>46217</v>
      </c>
      <c r="F91" s="21"/>
      <c r="G91" s="6" t="s">
        <v>20</v>
      </c>
      <c r="H91" s="6" t="s">
        <v>21</v>
      </c>
      <c r="I91" s="6" t="s">
        <v>22</v>
      </c>
      <c r="J91" s="18"/>
      <c r="K91" s="18"/>
      <c r="L91" s="19"/>
      <c r="M91" s="19"/>
      <c r="N91" s="19"/>
    </row>
    <row r="92" spans="1:14" x14ac:dyDescent="0.2">
      <c r="A92">
        <v>18.100000000000001</v>
      </c>
      <c r="B92" s="14" t="str">
        <f>VLOOKUP(D92,'[1]Backlog Priorizado'!$B$5:$G$30,6,0)</f>
        <v>6-7</v>
      </c>
      <c r="C92" s="14" t="s">
        <v>85</v>
      </c>
      <c r="D92" s="16" t="s">
        <v>44</v>
      </c>
      <c r="E92" s="21">
        <v>46218</v>
      </c>
      <c r="F92" s="21"/>
      <c r="G92" s="6" t="s">
        <v>14</v>
      </c>
      <c r="H92" s="6" t="s">
        <v>15</v>
      </c>
      <c r="I92" s="6" t="s">
        <v>16</v>
      </c>
      <c r="J92" s="18"/>
      <c r="K92" s="18"/>
      <c r="L92" s="19"/>
      <c r="M92" s="19"/>
      <c r="N92" s="19"/>
    </row>
    <row r="93" spans="1:14" x14ac:dyDescent="0.2">
      <c r="A93">
        <v>18.2</v>
      </c>
      <c r="B93" s="14" t="s">
        <v>66</v>
      </c>
      <c r="C93" s="14" t="s">
        <v>85</v>
      </c>
      <c r="D93" s="16" t="s">
        <v>44</v>
      </c>
      <c r="E93" s="21">
        <v>46218</v>
      </c>
      <c r="F93" s="7"/>
      <c r="G93" s="28" t="s">
        <v>89</v>
      </c>
      <c r="H93" s="28" t="s">
        <v>90</v>
      </c>
      <c r="I93" s="28" t="s">
        <v>91</v>
      </c>
    </row>
    <row r="94" spans="1:14" x14ac:dyDescent="0.2">
      <c r="A94">
        <v>18.3</v>
      </c>
      <c r="B94" s="14" t="str">
        <f>VLOOKUP(D94,'[1]Backlog Priorizado'!$B$5:$G$30,6,0)</f>
        <v>6-7</v>
      </c>
      <c r="C94" s="14" t="s">
        <v>85</v>
      </c>
      <c r="D94" s="16" t="s">
        <v>44</v>
      </c>
      <c r="E94" s="21">
        <v>46218</v>
      </c>
      <c r="F94" s="21"/>
      <c r="G94" s="6" t="s">
        <v>17</v>
      </c>
      <c r="H94" s="6" t="s">
        <v>18</v>
      </c>
      <c r="I94" s="6" t="s">
        <v>19</v>
      </c>
      <c r="J94" s="18"/>
      <c r="K94" s="18"/>
      <c r="L94" s="19"/>
      <c r="M94" s="19"/>
      <c r="N94" s="19"/>
    </row>
    <row r="95" spans="1:14" x14ac:dyDescent="0.2">
      <c r="A95">
        <v>18.399999999999999</v>
      </c>
      <c r="B95" s="14" t="str">
        <f>VLOOKUP(D95,'[1]Backlog Priorizado'!$B$5:$G$30,6,0)</f>
        <v>6-7</v>
      </c>
      <c r="C95" s="14" t="s">
        <v>85</v>
      </c>
      <c r="D95" s="16" t="s">
        <v>44</v>
      </c>
      <c r="E95" s="21">
        <v>46218</v>
      </c>
      <c r="F95" s="21"/>
      <c r="G95" s="6" t="s">
        <v>28</v>
      </c>
      <c r="H95" s="6" t="s">
        <v>73</v>
      </c>
      <c r="I95" s="6" t="s">
        <v>74</v>
      </c>
      <c r="J95" s="18"/>
      <c r="K95" s="18"/>
      <c r="L95" s="19"/>
      <c r="M95" s="19"/>
      <c r="N95" s="19"/>
    </row>
    <row r="96" spans="1:14" x14ac:dyDescent="0.2">
      <c r="A96">
        <v>18.5</v>
      </c>
      <c r="B96" s="14" t="str">
        <f>VLOOKUP(D96,'[1]Backlog Priorizado'!$B$5:$G$30,6,0)</f>
        <v>6-7</v>
      </c>
      <c r="C96" s="14" t="s">
        <v>85</v>
      </c>
      <c r="D96" s="16" t="s">
        <v>44</v>
      </c>
      <c r="E96" s="21">
        <v>46218</v>
      </c>
      <c r="F96" s="21"/>
      <c r="G96" s="6" t="s">
        <v>20</v>
      </c>
      <c r="H96" s="6" t="s">
        <v>21</v>
      </c>
      <c r="I96" s="6" t="s">
        <v>22</v>
      </c>
    </row>
    <row r="97" spans="1:9" x14ac:dyDescent="0.2">
      <c r="A97">
        <v>19.100000000000001</v>
      </c>
      <c r="B97" s="14" t="str">
        <f>VLOOKUP(D97,'[1]Backlog Priorizado'!$B$5:$G$30,6,0)</f>
        <v>6-7</v>
      </c>
      <c r="C97" s="14" t="s">
        <v>85</v>
      </c>
      <c r="D97" s="16" t="s">
        <v>45</v>
      </c>
      <c r="E97" s="21">
        <v>46219</v>
      </c>
      <c r="F97" s="21"/>
      <c r="G97" s="6" t="s">
        <v>14</v>
      </c>
      <c r="H97" s="6" t="s">
        <v>15</v>
      </c>
      <c r="I97" s="6" t="s">
        <v>16</v>
      </c>
    </row>
    <row r="98" spans="1:9" x14ac:dyDescent="0.2">
      <c r="A98">
        <v>19.2</v>
      </c>
      <c r="B98" s="14" t="s">
        <v>66</v>
      </c>
      <c r="C98" s="14" t="s">
        <v>85</v>
      </c>
      <c r="D98" s="16" t="s">
        <v>45</v>
      </c>
      <c r="E98" s="21">
        <v>46219</v>
      </c>
      <c r="F98" s="7"/>
      <c r="G98" s="28" t="s">
        <v>89</v>
      </c>
      <c r="H98" s="28" t="s">
        <v>90</v>
      </c>
      <c r="I98" s="28" t="s">
        <v>91</v>
      </c>
    </row>
    <row r="99" spans="1:9" x14ac:dyDescent="0.2">
      <c r="A99">
        <v>19.3</v>
      </c>
      <c r="B99" s="14" t="str">
        <f>VLOOKUP(D99,'[1]Backlog Priorizado'!$B$5:$G$30,6,0)</f>
        <v>6-7</v>
      </c>
      <c r="C99" s="14" t="s">
        <v>85</v>
      </c>
      <c r="D99" s="16" t="s">
        <v>45</v>
      </c>
      <c r="E99" s="27">
        <v>46219</v>
      </c>
      <c r="F99" s="27"/>
      <c r="G99" s="29" t="s">
        <v>17</v>
      </c>
      <c r="H99" s="29" t="s">
        <v>18</v>
      </c>
      <c r="I99" s="29" t="s">
        <v>19</v>
      </c>
    </row>
    <row r="100" spans="1:9" x14ac:dyDescent="0.2">
      <c r="A100">
        <v>19.399999999999999</v>
      </c>
      <c r="B100" s="14" t="str">
        <f>VLOOKUP(D100,'[1]Backlog Priorizado'!$B$5:$G$30,6,0)</f>
        <v>6-7</v>
      </c>
      <c r="C100" s="14" t="s">
        <v>85</v>
      </c>
      <c r="D100" s="16" t="s">
        <v>45</v>
      </c>
      <c r="E100" s="27">
        <v>46219</v>
      </c>
      <c r="F100" s="27"/>
      <c r="G100" s="29" t="s">
        <v>28</v>
      </c>
      <c r="H100" s="29" t="s">
        <v>73</v>
      </c>
      <c r="I100" s="29" t="s">
        <v>74</v>
      </c>
    </row>
    <row r="101" spans="1:9" x14ac:dyDescent="0.2">
      <c r="A101">
        <v>19.5</v>
      </c>
      <c r="B101" s="14" t="str">
        <f>VLOOKUP(D101,'[1]Backlog Priorizado'!$B$5:$G$30,6,0)</f>
        <v>6-7</v>
      </c>
      <c r="C101" s="14" t="s">
        <v>85</v>
      </c>
      <c r="D101" s="16" t="s">
        <v>45</v>
      </c>
      <c r="E101" s="27">
        <v>46219</v>
      </c>
      <c r="F101" s="27"/>
      <c r="G101" s="29" t="s">
        <v>20</v>
      </c>
      <c r="H101" s="29" t="s">
        <v>21</v>
      </c>
      <c r="I101" s="29" t="s">
        <v>22</v>
      </c>
    </row>
    <row r="102" spans="1:9" x14ac:dyDescent="0.2">
      <c r="A102">
        <v>20.100000000000001</v>
      </c>
      <c r="B102" s="14" t="str">
        <f>VLOOKUP(D102,'[1]Backlog Priorizado'!$B$5:$G$30,6,0)</f>
        <v>6-7</v>
      </c>
      <c r="C102" s="14" t="s">
        <v>85</v>
      </c>
      <c r="D102" s="16" t="s">
        <v>46</v>
      </c>
      <c r="E102" s="27">
        <v>46220</v>
      </c>
      <c r="F102" s="27"/>
      <c r="G102" s="29" t="s">
        <v>14</v>
      </c>
      <c r="H102" s="29" t="s">
        <v>15</v>
      </c>
      <c r="I102" s="29" t="s">
        <v>16</v>
      </c>
    </row>
    <row r="103" spans="1:9" x14ac:dyDescent="0.2">
      <c r="A103">
        <v>20.2</v>
      </c>
      <c r="B103" s="14" t="s">
        <v>66</v>
      </c>
      <c r="C103" s="14" t="s">
        <v>85</v>
      </c>
      <c r="D103" s="16" t="s">
        <v>46</v>
      </c>
      <c r="E103" s="27">
        <v>46220</v>
      </c>
      <c r="G103" s="25" t="s">
        <v>89</v>
      </c>
      <c r="H103" s="25" t="s">
        <v>90</v>
      </c>
      <c r="I103" s="25" t="s">
        <v>91</v>
      </c>
    </row>
    <row r="104" spans="1:9" x14ac:dyDescent="0.2">
      <c r="A104">
        <v>20.3</v>
      </c>
      <c r="B104" s="14" t="str">
        <f>VLOOKUP(D104,'[1]Backlog Priorizado'!$B$5:$G$30,6,0)</f>
        <v>6-7</v>
      </c>
      <c r="C104" s="14" t="s">
        <v>85</v>
      </c>
      <c r="D104" s="16" t="s">
        <v>46</v>
      </c>
      <c r="E104" s="27">
        <v>46220</v>
      </c>
      <c r="F104" s="27"/>
      <c r="G104" s="29" t="s">
        <v>17</v>
      </c>
      <c r="H104" s="29" t="s">
        <v>18</v>
      </c>
      <c r="I104" s="29" t="s">
        <v>19</v>
      </c>
    </row>
    <row r="105" spans="1:9" x14ac:dyDescent="0.2">
      <c r="A105">
        <v>20.399999999999999</v>
      </c>
      <c r="B105" s="14" t="str">
        <f>VLOOKUP(D105,'[1]Backlog Priorizado'!$B$5:$G$30,6,0)</f>
        <v>6-7</v>
      </c>
      <c r="C105" s="14" t="s">
        <v>85</v>
      </c>
      <c r="D105" s="16" t="s">
        <v>46</v>
      </c>
      <c r="E105" s="27">
        <v>46220</v>
      </c>
      <c r="F105" s="27"/>
      <c r="G105" s="29" t="s">
        <v>28</v>
      </c>
      <c r="H105" s="29" t="s">
        <v>73</v>
      </c>
      <c r="I105" s="29" t="s">
        <v>74</v>
      </c>
    </row>
    <row r="106" spans="1:9" x14ac:dyDescent="0.2">
      <c r="A106">
        <v>20.5</v>
      </c>
      <c r="B106" s="14" t="str">
        <f>VLOOKUP(D106,'[1]Backlog Priorizado'!$B$5:$G$30,6,0)</f>
        <v>6-7</v>
      </c>
      <c r="C106" s="14" t="s">
        <v>85</v>
      </c>
      <c r="D106" s="16" t="s">
        <v>46</v>
      </c>
      <c r="E106" s="27">
        <v>46220</v>
      </c>
      <c r="F106" s="27"/>
      <c r="G106" s="29" t="s">
        <v>20</v>
      </c>
      <c r="H106" s="29" t="s">
        <v>21</v>
      </c>
      <c r="I106" s="29" t="s">
        <v>22</v>
      </c>
    </row>
    <row r="107" spans="1:9" x14ac:dyDescent="0.2">
      <c r="A107">
        <v>21.1</v>
      </c>
      <c r="B107" s="15" t="str">
        <f>VLOOKUP(D107,'[1]Backlog Priorizado'!$B$5:$G$30,6,0)</f>
        <v>7-8</v>
      </c>
      <c r="C107" s="15" t="s">
        <v>86</v>
      </c>
      <c r="D107" s="15" t="s">
        <v>47</v>
      </c>
      <c r="E107" s="27">
        <v>46224</v>
      </c>
      <c r="F107" s="27"/>
      <c r="G107" s="29" t="s">
        <v>14</v>
      </c>
      <c r="H107" s="29" t="s">
        <v>15</v>
      </c>
      <c r="I107" s="29" t="s">
        <v>16</v>
      </c>
    </row>
    <row r="108" spans="1:9" x14ac:dyDescent="0.2">
      <c r="A108">
        <v>21.2</v>
      </c>
      <c r="B108" s="15" t="s">
        <v>67</v>
      </c>
      <c r="C108" s="15" t="s">
        <v>86</v>
      </c>
      <c r="D108" s="15" t="s">
        <v>47</v>
      </c>
      <c r="E108" s="27">
        <v>46224</v>
      </c>
      <c r="G108" s="25" t="s">
        <v>89</v>
      </c>
      <c r="H108" s="25" t="s">
        <v>90</v>
      </c>
      <c r="I108" s="25" t="s">
        <v>91</v>
      </c>
    </row>
    <row r="109" spans="1:9" x14ac:dyDescent="0.2">
      <c r="A109">
        <v>21.3</v>
      </c>
      <c r="B109" s="15" t="str">
        <f>VLOOKUP(D109,'[1]Backlog Priorizado'!$B$5:$G$30,6,0)</f>
        <v>7-8</v>
      </c>
      <c r="C109" s="15" t="s">
        <v>86</v>
      </c>
      <c r="D109" s="15" t="s">
        <v>47</v>
      </c>
      <c r="E109" s="27">
        <v>46224</v>
      </c>
      <c r="F109" s="27"/>
      <c r="G109" s="29" t="s">
        <v>17</v>
      </c>
      <c r="H109" s="29" t="s">
        <v>18</v>
      </c>
      <c r="I109" s="29" t="s">
        <v>19</v>
      </c>
    </row>
    <row r="110" spans="1:9" x14ac:dyDescent="0.2">
      <c r="A110">
        <v>21.4</v>
      </c>
      <c r="B110" s="15" t="str">
        <f>VLOOKUP(D110,'[1]Backlog Priorizado'!$B$5:$G$30,6,0)</f>
        <v>7-8</v>
      </c>
      <c r="C110" s="15" t="s">
        <v>86</v>
      </c>
      <c r="D110" s="15" t="s">
        <v>47</v>
      </c>
      <c r="E110" s="27">
        <v>46224</v>
      </c>
      <c r="F110" s="27"/>
      <c r="G110" s="29" t="s">
        <v>28</v>
      </c>
      <c r="H110" s="29" t="s">
        <v>73</v>
      </c>
      <c r="I110" s="29" t="s">
        <v>74</v>
      </c>
    </row>
    <row r="111" spans="1:9" x14ac:dyDescent="0.2">
      <c r="A111">
        <v>21.5</v>
      </c>
      <c r="B111" s="15" t="str">
        <f>VLOOKUP(D111,'[1]Backlog Priorizado'!$B$5:$G$30,6,0)</f>
        <v>7-8</v>
      </c>
      <c r="C111" s="15" t="s">
        <v>86</v>
      </c>
      <c r="D111" s="15" t="s">
        <v>47</v>
      </c>
      <c r="E111" s="27">
        <v>46224</v>
      </c>
      <c r="F111" s="27"/>
      <c r="G111" s="29" t="s">
        <v>20</v>
      </c>
      <c r="H111" s="29" t="s">
        <v>21</v>
      </c>
      <c r="I111" s="29" t="s">
        <v>22</v>
      </c>
    </row>
    <row r="112" spans="1:9" x14ac:dyDescent="0.2">
      <c r="A112">
        <v>22.1</v>
      </c>
      <c r="B112" s="15" t="str">
        <f>VLOOKUP(D112,'[1]Backlog Priorizado'!$B$5:$G$30,6,0)</f>
        <v>7-8</v>
      </c>
      <c r="C112" s="15" t="s">
        <v>86</v>
      </c>
      <c r="D112" s="15" t="s">
        <v>48</v>
      </c>
      <c r="E112" s="27">
        <v>46225</v>
      </c>
      <c r="F112" s="27"/>
      <c r="G112" s="29" t="s">
        <v>14</v>
      </c>
      <c r="H112" s="29" t="s">
        <v>15</v>
      </c>
      <c r="I112" s="29" t="s">
        <v>16</v>
      </c>
    </row>
    <row r="113" spans="1:9" x14ac:dyDescent="0.2">
      <c r="A113">
        <v>22.2</v>
      </c>
      <c r="B113" s="15" t="s">
        <v>67</v>
      </c>
      <c r="C113" s="15" t="s">
        <v>86</v>
      </c>
      <c r="D113" s="15" t="s">
        <v>48</v>
      </c>
      <c r="E113" s="27">
        <v>46225</v>
      </c>
      <c r="G113" s="25" t="s">
        <v>89</v>
      </c>
      <c r="H113" s="25" t="s">
        <v>90</v>
      </c>
      <c r="I113" s="25" t="s">
        <v>91</v>
      </c>
    </row>
    <row r="114" spans="1:9" x14ac:dyDescent="0.2">
      <c r="A114">
        <v>22.3</v>
      </c>
      <c r="B114" s="15" t="str">
        <f>VLOOKUP(D114,'[1]Backlog Priorizado'!$B$5:$G$30,6,0)</f>
        <v>7-8</v>
      </c>
      <c r="C114" s="15" t="s">
        <v>86</v>
      </c>
      <c r="D114" s="15" t="s">
        <v>48</v>
      </c>
      <c r="E114" s="27">
        <v>46225</v>
      </c>
      <c r="F114" s="27"/>
      <c r="G114" s="29" t="s">
        <v>17</v>
      </c>
      <c r="H114" s="29" t="s">
        <v>18</v>
      </c>
      <c r="I114" s="29" t="s">
        <v>19</v>
      </c>
    </row>
    <row r="115" spans="1:9" x14ac:dyDescent="0.2">
      <c r="A115">
        <v>22.4</v>
      </c>
      <c r="B115" s="15" t="str">
        <f>VLOOKUP(D115,'[1]Backlog Priorizado'!$B$5:$G$30,6,0)</f>
        <v>7-8</v>
      </c>
      <c r="C115" s="15" t="s">
        <v>86</v>
      </c>
      <c r="D115" s="15" t="s">
        <v>48</v>
      </c>
      <c r="E115" s="27">
        <v>46225</v>
      </c>
      <c r="F115" s="27"/>
      <c r="G115" s="29" t="s">
        <v>28</v>
      </c>
      <c r="H115" s="29" t="s">
        <v>73</v>
      </c>
      <c r="I115" s="29" t="s">
        <v>74</v>
      </c>
    </row>
    <row r="116" spans="1:9" x14ac:dyDescent="0.2">
      <c r="A116">
        <v>22.5</v>
      </c>
      <c r="B116" s="15" t="str">
        <f>VLOOKUP(D116,'[1]Backlog Priorizado'!$B$5:$G$30,6,0)</f>
        <v>7-8</v>
      </c>
      <c r="C116" s="15" t="s">
        <v>86</v>
      </c>
      <c r="D116" s="15" t="s">
        <v>48</v>
      </c>
      <c r="E116" s="27">
        <v>46225</v>
      </c>
      <c r="F116" s="27"/>
      <c r="G116" s="29" t="s">
        <v>20</v>
      </c>
      <c r="H116" s="29" t="s">
        <v>21</v>
      </c>
      <c r="I116" s="29" t="s">
        <v>22</v>
      </c>
    </row>
    <row r="117" spans="1:9" x14ac:dyDescent="0.2">
      <c r="A117">
        <v>23.1</v>
      </c>
      <c r="B117" s="15" t="str">
        <f>VLOOKUP(D117,'[1]Backlog Priorizado'!$B$5:$G$30,6,0)</f>
        <v>7-8</v>
      </c>
      <c r="C117" s="15" t="s">
        <v>86</v>
      </c>
      <c r="D117" s="15" t="s">
        <v>49</v>
      </c>
      <c r="E117" s="27">
        <v>46226</v>
      </c>
      <c r="F117" s="27"/>
      <c r="G117" s="29" t="s">
        <v>14</v>
      </c>
      <c r="H117" s="29" t="s">
        <v>15</v>
      </c>
      <c r="I117" s="29" t="s">
        <v>16</v>
      </c>
    </row>
    <row r="118" spans="1:9" x14ac:dyDescent="0.2">
      <c r="A118">
        <v>23.2</v>
      </c>
      <c r="B118" s="15" t="s">
        <v>67</v>
      </c>
      <c r="C118" s="15" t="s">
        <v>86</v>
      </c>
      <c r="D118" s="15" t="s">
        <v>49</v>
      </c>
      <c r="E118" s="27">
        <v>46226</v>
      </c>
      <c r="G118" s="25" t="s">
        <v>89</v>
      </c>
      <c r="H118" s="25" t="s">
        <v>90</v>
      </c>
      <c r="I118" s="25" t="s">
        <v>91</v>
      </c>
    </row>
    <row r="119" spans="1:9" x14ac:dyDescent="0.2">
      <c r="A119">
        <v>23.3</v>
      </c>
      <c r="B119" s="15" t="str">
        <f>VLOOKUP(D119,'[1]Backlog Priorizado'!$B$5:$G$30,6,0)</f>
        <v>7-8</v>
      </c>
      <c r="C119" s="15" t="s">
        <v>86</v>
      </c>
      <c r="D119" s="15" t="s">
        <v>49</v>
      </c>
      <c r="E119" s="27">
        <v>46226</v>
      </c>
      <c r="F119" s="27"/>
      <c r="G119" s="29" t="s">
        <v>17</v>
      </c>
      <c r="H119" s="29" t="s">
        <v>18</v>
      </c>
      <c r="I119" s="29" t="s">
        <v>19</v>
      </c>
    </row>
    <row r="120" spans="1:9" x14ac:dyDescent="0.2">
      <c r="A120">
        <v>23.4</v>
      </c>
      <c r="B120" s="15" t="str">
        <f>VLOOKUP(D120,'[1]Backlog Priorizado'!$B$5:$G$30,6,0)</f>
        <v>7-8</v>
      </c>
      <c r="C120" s="15" t="s">
        <v>86</v>
      </c>
      <c r="D120" s="15" t="s">
        <v>49</v>
      </c>
      <c r="E120" s="27">
        <v>46226</v>
      </c>
      <c r="F120" s="27"/>
      <c r="G120" s="29" t="s">
        <v>28</v>
      </c>
      <c r="H120" s="29" t="s">
        <v>73</v>
      </c>
      <c r="I120" s="29" t="s">
        <v>74</v>
      </c>
    </row>
    <row r="121" spans="1:9" x14ac:dyDescent="0.2">
      <c r="A121">
        <v>23.5</v>
      </c>
      <c r="B121" s="15" t="str">
        <f>VLOOKUP(D121,'[1]Backlog Priorizado'!$B$5:$G$30,6,0)</f>
        <v>7-8</v>
      </c>
      <c r="C121" s="15" t="s">
        <v>86</v>
      </c>
      <c r="D121" s="15" t="s">
        <v>49</v>
      </c>
      <c r="E121" s="27">
        <v>46226</v>
      </c>
      <c r="F121" s="27"/>
      <c r="G121" s="29" t="s">
        <v>20</v>
      </c>
      <c r="H121" s="29" t="s">
        <v>21</v>
      </c>
      <c r="I121" s="29" t="s">
        <v>22</v>
      </c>
    </row>
  </sheetData>
  <autoFilter ref="A5:N121" xr:uid="{00000000-0001-0000-0000-000000000000}">
    <sortState xmlns:xlrd2="http://schemas.microsoft.com/office/spreadsheetml/2017/richdata2" ref="A6:N121">
      <sortCondition ref="A5:A121"/>
    </sortState>
  </autoFilter>
  <mergeCells count="1">
    <mergeCell ref="H41:I41"/>
  </mergeCells>
  <phoneticPr fontId="6" type="noConversion"/>
  <dataValidations count="4">
    <dataValidation type="list" allowBlank="1" sqref="J6:J7 J9:J77" xr:uid="{00000000-0002-0000-0000-000000000000}">
      <formula1>"Sí,No,Pendiente"</formula1>
    </dataValidation>
    <dataValidation type="list" allowBlank="1" sqref="J8 K6:K77" xr:uid="{00000000-0002-0000-0000-000001000000}">
      <formula1>"Sí,No,N/A"</formula1>
    </dataValidation>
    <dataValidation type="list" allowBlank="1" sqref="G6:G98" xr:uid="{00000000-0002-0000-0000-000002000000}">
      <formula1>"RAN,Planning,Quality,O&amp;M,Acceptance"</formula1>
    </dataValidation>
    <dataValidation type="list" allowBlank="1" sqref="N6:N77" xr:uid="{00000000-0002-0000-0000-000003000000}">
      <formula1>"Aceptado,Aceptado con observaciones,Rechazado,En revisión"</formula1>
    </dataValidation>
  </dataValidation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6"/>
  <sheetViews>
    <sheetView tabSelected="1" workbookViewId="0">
      <pane ySplit="3" topLeftCell="A4" activePane="bottomLeft" state="frozen"/>
      <selection pane="bottomLeft" activeCell="O3" sqref="O3:P6"/>
    </sheetView>
  </sheetViews>
  <sheetFormatPr baseColWidth="10" defaultColWidth="8.83203125" defaultRowHeight="15" x14ac:dyDescent="0.2"/>
  <cols>
    <col min="1" max="2" width="10" customWidth="1"/>
    <col min="3" max="3" width="11" customWidth="1"/>
    <col min="4" max="4" width="14" customWidth="1"/>
    <col min="5" max="5" width="19" bestFit="1" customWidth="1"/>
    <col min="6" max="6" width="18.33203125" bestFit="1" customWidth="1"/>
    <col min="7" max="9" width="9" customWidth="1"/>
    <col min="10" max="10" width="13" customWidth="1"/>
    <col min="11" max="11" width="14" customWidth="1"/>
    <col min="12" max="12" width="8" customWidth="1"/>
    <col min="15" max="15" width="12.1640625" bestFit="1" customWidth="1"/>
    <col min="16" max="16" width="13" bestFit="1" customWidth="1"/>
    <col min="22" max="22" width="21.6640625" style="33" bestFit="1" customWidth="1"/>
    <col min="23" max="23" width="20.83203125" style="33" bestFit="1" customWidth="1"/>
  </cols>
  <sheetData>
    <row r="1" spans="1:16" ht="21" x14ac:dyDescent="0.25">
      <c r="A1" s="1" t="s">
        <v>25</v>
      </c>
      <c r="O1" s="22" t="s">
        <v>29</v>
      </c>
      <c r="P1" t="s">
        <v>69</v>
      </c>
    </row>
    <row r="2" spans="1:16" ht="16" thickBot="1" x14ac:dyDescent="0.25"/>
    <row r="3" spans="1:16" ht="32" x14ac:dyDescent="0.2">
      <c r="A3" s="3" t="s">
        <v>76</v>
      </c>
      <c r="B3" s="3" t="s">
        <v>26</v>
      </c>
      <c r="C3" s="3" t="s">
        <v>27</v>
      </c>
      <c r="D3" s="3" t="s">
        <v>87</v>
      </c>
      <c r="E3" s="3" t="s">
        <v>92</v>
      </c>
      <c r="F3" s="3" t="s">
        <v>93</v>
      </c>
      <c r="G3" s="3" t="s">
        <v>14</v>
      </c>
      <c r="H3" s="3" t="s">
        <v>17</v>
      </c>
      <c r="I3" s="3" t="s">
        <v>28</v>
      </c>
      <c r="J3" s="3" t="s">
        <v>20</v>
      </c>
      <c r="K3" s="3" t="s">
        <v>29</v>
      </c>
      <c r="L3" s="3" t="s">
        <v>9</v>
      </c>
      <c r="O3" s="38" t="s">
        <v>9</v>
      </c>
      <c r="P3" s="39" t="s">
        <v>97</v>
      </c>
    </row>
    <row r="4" spans="1:16" x14ac:dyDescent="0.2">
      <c r="A4" s="8">
        <v>1</v>
      </c>
      <c r="B4" s="8" t="s">
        <v>13</v>
      </c>
      <c r="C4" s="12" t="s">
        <v>62</v>
      </c>
      <c r="D4" s="23" t="s">
        <v>81</v>
      </c>
      <c r="E4" s="34">
        <v>46190</v>
      </c>
      <c r="F4" s="34">
        <v>46195</v>
      </c>
      <c r="G4" s="5" t="s">
        <v>68</v>
      </c>
      <c r="H4" s="5" t="s">
        <v>68</v>
      </c>
      <c r="I4" s="5" t="s">
        <v>68</v>
      </c>
      <c r="J4" s="5" t="s">
        <v>68</v>
      </c>
      <c r="K4" s="5" t="s">
        <v>69</v>
      </c>
      <c r="L4" s="5" t="s">
        <v>75</v>
      </c>
      <c r="O4" s="40" t="s">
        <v>75</v>
      </c>
      <c r="P4" s="41">
        <v>1</v>
      </c>
    </row>
    <row r="5" spans="1:16" x14ac:dyDescent="0.2">
      <c r="A5" s="8">
        <v>2</v>
      </c>
      <c r="B5" s="8" t="s">
        <v>23</v>
      </c>
      <c r="C5" s="12" t="s">
        <v>62</v>
      </c>
      <c r="D5" s="23" t="s">
        <v>81</v>
      </c>
      <c r="E5" s="34">
        <v>46191</v>
      </c>
      <c r="F5" s="34">
        <v>46195</v>
      </c>
      <c r="G5" s="5" t="s">
        <v>68</v>
      </c>
      <c r="H5" s="5" t="s">
        <v>68</v>
      </c>
      <c r="I5" s="5" t="s">
        <v>68</v>
      </c>
      <c r="J5" s="5" t="s">
        <v>68</v>
      </c>
      <c r="K5" s="5" t="s">
        <v>69</v>
      </c>
      <c r="L5" s="5" t="s">
        <v>70</v>
      </c>
      <c r="O5" s="40" t="s">
        <v>70</v>
      </c>
      <c r="P5" s="41">
        <v>6</v>
      </c>
    </row>
    <row r="6" spans="1:16" ht="16" thickBot="1" x14ac:dyDescent="0.25">
      <c r="A6" s="8">
        <v>3</v>
      </c>
      <c r="B6" s="8" t="s">
        <v>24</v>
      </c>
      <c r="C6" s="12" t="s">
        <v>62</v>
      </c>
      <c r="D6" s="23" t="s">
        <v>81</v>
      </c>
      <c r="E6" s="34">
        <v>46192</v>
      </c>
      <c r="F6" s="34">
        <v>46195</v>
      </c>
      <c r="G6" s="5" t="s">
        <v>68</v>
      </c>
      <c r="H6" s="5" t="s">
        <v>68</v>
      </c>
      <c r="I6" s="5" t="s">
        <v>68</v>
      </c>
      <c r="J6" s="5" t="s">
        <v>68</v>
      </c>
      <c r="K6" s="5" t="s">
        <v>69</v>
      </c>
      <c r="L6" s="5" t="s">
        <v>70</v>
      </c>
      <c r="O6" s="42" t="s">
        <v>80</v>
      </c>
      <c r="P6" s="43">
        <v>7</v>
      </c>
    </row>
    <row r="7" spans="1:16" x14ac:dyDescent="0.2">
      <c r="A7" s="4">
        <v>4</v>
      </c>
      <c r="B7" s="4" t="s">
        <v>30</v>
      </c>
      <c r="C7" s="13" t="s">
        <v>63</v>
      </c>
      <c r="D7" s="13" t="s">
        <v>82</v>
      </c>
      <c r="E7" s="35">
        <v>46197</v>
      </c>
      <c r="F7" s="35">
        <v>46199</v>
      </c>
      <c r="G7" s="5" t="s">
        <v>68</v>
      </c>
      <c r="H7" s="5" t="s">
        <v>68</v>
      </c>
      <c r="I7" s="5" t="s">
        <v>68</v>
      </c>
      <c r="J7" s="5" t="s">
        <v>68</v>
      </c>
      <c r="K7" s="5" t="s">
        <v>69</v>
      </c>
      <c r="L7" s="5" t="s">
        <v>70</v>
      </c>
    </row>
    <row r="8" spans="1:16" x14ac:dyDescent="0.2">
      <c r="A8" s="4">
        <v>5</v>
      </c>
      <c r="B8" s="4" t="s">
        <v>31</v>
      </c>
      <c r="C8" s="13" t="s">
        <v>63</v>
      </c>
      <c r="D8" s="13" t="s">
        <v>82</v>
      </c>
      <c r="E8" s="35">
        <v>46198</v>
      </c>
      <c r="F8" s="35">
        <v>46199</v>
      </c>
      <c r="G8" s="5" t="s">
        <v>68</v>
      </c>
      <c r="H8" s="5" t="s">
        <v>68</v>
      </c>
      <c r="I8" s="5" t="s">
        <v>68</v>
      </c>
      <c r="J8" s="5" t="s">
        <v>68</v>
      </c>
      <c r="K8" s="5" t="s">
        <v>69</v>
      </c>
      <c r="L8" s="5" t="s">
        <v>70</v>
      </c>
    </row>
    <row r="9" spans="1:16" x14ac:dyDescent="0.2">
      <c r="A9" s="4">
        <v>6</v>
      </c>
      <c r="B9" s="4" t="s">
        <v>32</v>
      </c>
      <c r="C9" s="13" t="s">
        <v>63</v>
      </c>
      <c r="D9" s="13" t="s">
        <v>82</v>
      </c>
      <c r="E9" s="35">
        <v>46199</v>
      </c>
      <c r="F9" s="35">
        <v>46199</v>
      </c>
      <c r="G9" s="5" t="s">
        <v>68</v>
      </c>
      <c r="H9" s="5" t="s">
        <v>68</v>
      </c>
      <c r="I9" s="5" t="s">
        <v>68</v>
      </c>
      <c r="J9" s="5" t="s">
        <v>68</v>
      </c>
      <c r="K9" s="5" t="s">
        <v>69</v>
      </c>
      <c r="L9" s="5" t="s">
        <v>70</v>
      </c>
    </row>
    <row r="10" spans="1:16" x14ac:dyDescent="0.2">
      <c r="A10" s="4">
        <v>7</v>
      </c>
      <c r="B10" s="4" t="s">
        <v>33</v>
      </c>
      <c r="C10" s="13" t="s">
        <v>63</v>
      </c>
      <c r="D10" s="13" t="s">
        <v>82</v>
      </c>
      <c r="E10" s="35">
        <v>46200</v>
      </c>
      <c r="F10" s="35">
        <v>46199</v>
      </c>
      <c r="G10" s="5" t="s">
        <v>68</v>
      </c>
      <c r="H10" s="5" t="s">
        <v>68</v>
      </c>
      <c r="I10" s="5" t="s">
        <v>68</v>
      </c>
      <c r="J10" s="5" t="s">
        <v>68</v>
      </c>
      <c r="K10" s="5" t="s">
        <v>69</v>
      </c>
      <c r="L10" s="5" t="s">
        <v>70</v>
      </c>
    </row>
    <row r="11" spans="1:16" x14ac:dyDescent="0.2">
      <c r="A11" s="4">
        <v>8</v>
      </c>
      <c r="B11" s="4" t="s">
        <v>34</v>
      </c>
      <c r="C11" s="13" t="s">
        <v>64</v>
      </c>
      <c r="D11" s="13" t="s">
        <v>83</v>
      </c>
      <c r="E11" s="35">
        <v>46204</v>
      </c>
      <c r="F11" s="35"/>
      <c r="G11" s="5"/>
      <c r="H11" s="5"/>
      <c r="I11" s="5"/>
      <c r="J11" s="5"/>
      <c r="K11" s="5" t="s">
        <v>94</v>
      </c>
      <c r="L11" s="5" t="s">
        <v>94</v>
      </c>
    </row>
    <row r="12" spans="1:16" x14ac:dyDescent="0.2">
      <c r="A12" s="4">
        <v>9</v>
      </c>
      <c r="B12" s="4" t="s">
        <v>35</v>
      </c>
      <c r="C12" s="13" t="s">
        <v>64</v>
      </c>
      <c r="D12" s="13" t="s">
        <v>83</v>
      </c>
      <c r="E12" s="35">
        <v>46205</v>
      </c>
      <c r="F12" s="35"/>
      <c r="G12" s="5"/>
      <c r="H12" s="5"/>
      <c r="I12" s="5"/>
      <c r="J12" s="5"/>
      <c r="K12" s="5" t="s">
        <v>94</v>
      </c>
      <c r="L12" s="5" t="s">
        <v>94</v>
      </c>
    </row>
    <row r="13" spans="1:16" x14ac:dyDescent="0.2">
      <c r="A13" s="4">
        <v>10</v>
      </c>
      <c r="B13" s="4" t="s">
        <v>36</v>
      </c>
      <c r="C13" s="13" t="s">
        <v>64</v>
      </c>
      <c r="D13" s="13" t="s">
        <v>83</v>
      </c>
      <c r="E13" s="35">
        <v>46206</v>
      </c>
      <c r="F13" s="35"/>
      <c r="G13" s="5"/>
      <c r="H13" s="5"/>
      <c r="I13" s="5"/>
      <c r="J13" s="5"/>
      <c r="K13" s="5" t="s">
        <v>94</v>
      </c>
      <c r="L13" s="5" t="s">
        <v>94</v>
      </c>
    </row>
    <row r="14" spans="1:16" x14ac:dyDescent="0.2">
      <c r="A14" s="4">
        <v>11</v>
      </c>
      <c r="B14" s="4" t="s">
        <v>37</v>
      </c>
      <c r="C14" s="13" t="s">
        <v>64</v>
      </c>
      <c r="D14" s="13" t="s">
        <v>83</v>
      </c>
      <c r="E14" s="35">
        <v>46207</v>
      </c>
      <c r="F14" s="35"/>
      <c r="G14" s="5"/>
      <c r="H14" s="5"/>
      <c r="I14" s="5"/>
      <c r="J14" s="5"/>
      <c r="K14" s="5" t="s">
        <v>94</v>
      </c>
      <c r="L14" s="5" t="s">
        <v>94</v>
      </c>
    </row>
    <row r="15" spans="1:16" x14ac:dyDescent="0.2">
      <c r="A15" s="4">
        <v>12</v>
      </c>
      <c r="B15" s="4" t="s">
        <v>38</v>
      </c>
      <c r="C15" s="13" t="s">
        <v>64</v>
      </c>
      <c r="D15" s="13" t="s">
        <v>83</v>
      </c>
      <c r="E15" s="35">
        <v>46209</v>
      </c>
      <c r="F15" s="35"/>
      <c r="G15" s="5"/>
      <c r="H15" s="5"/>
      <c r="I15" s="5"/>
      <c r="J15" s="5"/>
      <c r="K15" s="5" t="s">
        <v>94</v>
      </c>
      <c r="L15" s="5" t="s">
        <v>94</v>
      </c>
    </row>
    <row r="16" spans="1:16" x14ac:dyDescent="0.2">
      <c r="A16" s="4">
        <v>13</v>
      </c>
      <c r="B16" s="4" t="s">
        <v>39</v>
      </c>
      <c r="C16" s="13" t="s">
        <v>65</v>
      </c>
      <c r="D16" s="13" t="s">
        <v>84</v>
      </c>
      <c r="E16" s="35">
        <v>46211</v>
      </c>
      <c r="F16" s="35"/>
      <c r="G16" s="5"/>
      <c r="H16" s="5"/>
      <c r="I16" s="5"/>
      <c r="J16" s="5"/>
      <c r="K16" s="5"/>
      <c r="L16" s="5"/>
    </row>
    <row r="17" spans="1:12" x14ac:dyDescent="0.2">
      <c r="A17" s="4">
        <v>14</v>
      </c>
      <c r="B17" s="4" t="s">
        <v>40</v>
      </c>
      <c r="C17" s="13" t="s">
        <v>65</v>
      </c>
      <c r="D17" s="13" t="s">
        <v>84</v>
      </c>
      <c r="E17" s="35">
        <v>46212</v>
      </c>
      <c r="F17" s="35"/>
      <c r="G17" s="5"/>
      <c r="H17" s="5"/>
      <c r="I17" s="5"/>
      <c r="J17" s="5"/>
      <c r="K17" s="5"/>
      <c r="L17" s="5"/>
    </row>
    <row r="18" spans="1:12" x14ac:dyDescent="0.2">
      <c r="A18" s="4">
        <v>15</v>
      </c>
      <c r="B18" s="4" t="s">
        <v>41</v>
      </c>
      <c r="C18" s="13" t="s">
        <v>65</v>
      </c>
      <c r="D18" s="13" t="s">
        <v>84</v>
      </c>
      <c r="E18" s="35">
        <v>46213</v>
      </c>
      <c r="F18" s="35"/>
      <c r="G18" s="5"/>
      <c r="H18" s="5"/>
      <c r="I18" s="5"/>
      <c r="J18" s="5"/>
      <c r="K18" s="5"/>
      <c r="L18" s="5"/>
    </row>
    <row r="19" spans="1:12" x14ac:dyDescent="0.2">
      <c r="A19" s="16">
        <v>16</v>
      </c>
      <c r="B19" s="16" t="s">
        <v>42</v>
      </c>
      <c r="C19" s="14" t="s">
        <v>65</v>
      </c>
      <c r="D19" s="14" t="s">
        <v>84</v>
      </c>
      <c r="E19" s="36">
        <v>46214</v>
      </c>
      <c r="F19" s="36"/>
      <c r="G19" s="5"/>
      <c r="H19" s="5"/>
      <c r="I19" s="5"/>
      <c r="J19" s="5"/>
      <c r="K19" s="5"/>
      <c r="L19" s="5"/>
    </row>
    <row r="20" spans="1:12" x14ac:dyDescent="0.2">
      <c r="A20" s="16">
        <v>17</v>
      </c>
      <c r="B20" s="16" t="s">
        <v>43</v>
      </c>
      <c r="C20" s="14" t="s">
        <v>66</v>
      </c>
      <c r="D20" s="14" t="s">
        <v>85</v>
      </c>
      <c r="E20" s="36">
        <v>46217</v>
      </c>
      <c r="F20" s="36"/>
      <c r="G20" s="5"/>
      <c r="H20" s="5"/>
      <c r="I20" s="5"/>
      <c r="J20" s="5"/>
      <c r="K20" s="5"/>
      <c r="L20" s="5"/>
    </row>
    <row r="21" spans="1:12" x14ac:dyDescent="0.2">
      <c r="A21" s="16">
        <v>18</v>
      </c>
      <c r="B21" s="16" t="s">
        <v>44</v>
      </c>
      <c r="C21" s="14" t="s">
        <v>66</v>
      </c>
      <c r="D21" s="14" t="s">
        <v>85</v>
      </c>
      <c r="E21" s="36">
        <v>46218</v>
      </c>
      <c r="F21" s="36"/>
      <c r="G21" s="5"/>
      <c r="H21" s="5"/>
      <c r="I21" s="5"/>
      <c r="J21" s="5"/>
      <c r="K21" s="5"/>
      <c r="L21" s="5"/>
    </row>
    <row r="22" spans="1:12" x14ac:dyDescent="0.2">
      <c r="A22" s="16">
        <v>19</v>
      </c>
      <c r="B22" s="16" t="s">
        <v>45</v>
      </c>
      <c r="C22" s="14" t="s">
        <v>66</v>
      </c>
      <c r="D22" s="14" t="s">
        <v>85</v>
      </c>
      <c r="E22" s="36">
        <v>46219</v>
      </c>
      <c r="F22" s="36"/>
      <c r="G22" s="5"/>
      <c r="H22" s="5"/>
      <c r="I22" s="5"/>
      <c r="J22" s="5"/>
      <c r="K22" s="5"/>
      <c r="L22" s="5"/>
    </row>
    <row r="23" spans="1:12" x14ac:dyDescent="0.2">
      <c r="A23" s="16">
        <v>20</v>
      </c>
      <c r="B23" s="16" t="s">
        <v>46</v>
      </c>
      <c r="C23" s="14" t="s">
        <v>66</v>
      </c>
      <c r="D23" s="14" t="s">
        <v>85</v>
      </c>
      <c r="E23" s="36">
        <v>46220</v>
      </c>
      <c r="F23" s="36"/>
      <c r="G23" s="5"/>
      <c r="H23" s="5"/>
      <c r="I23" s="5"/>
      <c r="J23" s="5"/>
      <c r="K23" s="5"/>
      <c r="L23" s="5"/>
    </row>
    <row r="24" spans="1:12" x14ac:dyDescent="0.2">
      <c r="A24" s="15">
        <v>21</v>
      </c>
      <c r="B24" s="15" t="s">
        <v>47</v>
      </c>
      <c r="C24" s="15" t="s">
        <v>67</v>
      </c>
      <c r="D24" s="15" t="s">
        <v>86</v>
      </c>
      <c r="E24" s="37">
        <v>46224</v>
      </c>
      <c r="F24" s="37"/>
      <c r="G24" s="5"/>
      <c r="H24" s="5"/>
      <c r="I24" s="5"/>
      <c r="J24" s="5"/>
      <c r="K24" s="5"/>
      <c r="L24" s="5"/>
    </row>
    <row r="25" spans="1:12" x14ac:dyDescent="0.2">
      <c r="A25" s="15">
        <v>22</v>
      </c>
      <c r="B25" s="15" t="s">
        <v>48</v>
      </c>
      <c r="C25" s="15" t="s">
        <v>67</v>
      </c>
      <c r="D25" s="15" t="s">
        <v>86</v>
      </c>
      <c r="E25" s="37">
        <v>46225</v>
      </c>
      <c r="F25" s="37"/>
      <c r="G25" s="5"/>
      <c r="H25" s="5"/>
      <c r="I25" s="5"/>
      <c r="J25" s="5"/>
      <c r="K25" s="5"/>
      <c r="L25" s="5"/>
    </row>
    <row r="26" spans="1:12" x14ac:dyDescent="0.2">
      <c r="A26" s="15">
        <v>23</v>
      </c>
      <c r="B26" s="15" t="s">
        <v>49</v>
      </c>
      <c r="C26" s="15" t="s">
        <v>67</v>
      </c>
      <c r="D26" s="15" t="s">
        <v>86</v>
      </c>
      <c r="E26" s="37">
        <v>46226</v>
      </c>
      <c r="F26" s="37"/>
      <c r="G26" s="5"/>
      <c r="H26" s="5"/>
      <c r="I26" s="5"/>
      <c r="J26" s="5"/>
      <c r="K26" s="5"/>
      <c r="L26" s="5"/>
    </row>
  </sheetData>
  <dataValidations count="3">
    <dataValidation type="list" allowBlank="1" sqref="G4:J26" xr:uid="{00000000-0002-0000-0100-000000000000}">
      <formula1>"Pendiente,✓,✗"</formula1>
    </dataValidation>
    <dataValidation type="list" allowBlank="1" sqref="K4:K26 L11:L15" xr:uid="{00000000-0002-0000-0100-000001000000}">
      <formula1>"Pendiente,Aceptado,Rechazado"</formula1>
    </dataValidation>
    <dataValidation type="list" allowBlank="1" sqref="L4:L10 L16:L26" xr:uid="{00000000-0002-0000-0100-000002000000}">
      <formula1>"Sí,No,N/A"</formula1>
    </dataValidation>
  </dataValidations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Instrucciones</vt:lpstr>
      <vt:lpstr>Bitácora de Validación</vt:lpstr>
      <vt:lpstr>Resumen FTR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Emmanuel Ramírez</dc:creator>
  <cp:keywords/>
  <dc:description/>
  <cp:lastModifiedBy>Carlos Ramirez</cp:lastModifiedBy>
  <dcterms:created xsi:type="dcterms:W3CDTF">2026-05-31T23:05:24Z</dcterms:created>
  <dcterms:modified xsi:type="dcterms:W3CDTF">2026-07-02T04:59:51Z</dcterms:modified>
  <cp:category/>
</cp:coreProperties>
</file>