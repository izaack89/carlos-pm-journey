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rlosemmanuelramirezcastanon/Library/Mobile Documents/com~apple~CloudDocs/Agile Project Leader/14. Proyecto PIDA/02. Entrega etapa 2/Delivery/Seguimiento/"/>
    </mc:Choice>
  </mc:AlternateContent>
  <xr:revisionPtr revIDLastSave="0" documentId="13_ncr:1_{4D1DD591-3D98-0849-B727-68C1B9098F9A}" xr6:coauthVersionLast="47" xr6:coauthVersionMax="47" xr10:uidLastSave="{00000000-0000-0000-0000-000000000000}"/>
  <bookViews>
    <workbookView xWindow="0" yWindow="780" windowWidth="36000" windowHeight="22600" xr2:uid="{82E6C1E3-0232-B245-B9DD-B09808BB9FE8}"/>
  </bookViews>
  <sheets>
    <sheet name="KPI Re-trabajo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26" i="2" l="1"/>
  <c r="D46" i="2"/>
  <c r="F23" i="2"/>
  <c r="F24" i="2"/>
  <c r="F25" i="2"/>
  <c r="F26" i="2"/>
  <c r="F27" i="2"/>
  <c r="F28" i="2"/>
  <c r="F29" i="2"/>
  <c r="D12" i="2"/>
  <c r="D14" i="2"/>
  <c r="D15" i="2"/>
  <c r="D19" i="2"/>
  <c r="E23" i="2"/>
  <c r="G23" i="2"/>
  <c r="E24" i="2"/>
  <c r="G24" i="2"/>
  <c r="E25" i="2"/>
  <c r="G25" i="2"/>
  <c r="E26" i="2"/>
  <c r="E27" i="2"/>
  <c r="G27" i="2"/>
  <c r="E28" i="2"/>
  <c r="G28" i="2"/>
  <c r="E29" i="2"/>
  <c r="G29" i="2"/>
  <c r="F46" i="2" l="1"/>
  <c r="C46" i="2"/>
  <c r="E46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Carlos Emmanuel Ramirez Castañon</author>
  </authors>
  <commentList>
    <comment ref="B5" authorId="0" shapeId="0" xr:uid="{5C976491-91DA-2C40-8086-7D44BE3183A9}">
      <text>
        <r>
          <rPr>
            <b/>
            <sz val="10"/>
            <color rgb="FF000000"/>
            <rFont val="Tahoma"/>
            <family val="2"/>
          </rPr>
          <t>Carlos Emmanuel Ramirez Castañon:</t>
        </r>
        <r>
          <rPr>
            <sz val="10"/>
            <color rgb="FF000000"/>
            <rFont val="Tahoma"/>
            <family val="2"/>
          </rPr>
          <t xml:space="preserve">
Source: 02.DefinicionPIDA-APL_V2.docx — objetivo del proyecto: "reduciendo en 10% las horas-hombre de re-trabajo técnico frente a proyectos equivalentes"</t>
        </r>
      </text>
    </comment>
    <comment ref="B6" authorId="0" shapeId="0" xr:uid="{081EEDEF-0D1B-3E4A-A51F-BE657B6D888A}">
      <text>
        <r>
          <rPr>
            <b/>
            <sz val="10"/>
            <color rgb="FF000000"/>
            <rFont val="Tahoma"/>
            <family val="2"/>
          </rPr>
          <t>Carlos Emmanuel Ramirez Castañon:</t>
        </r>
        <r>
          <rPr>
            <sz val="10"/>
            <color rgb="FF000000"/>
            <rFont val="Tahoma"/>
            <family val="2"/>
          </rPr>
          <t xml:space="preserve">
Supuesto estándar de jornada laboral, usado para convertir «días» del Log de Impedimentos a horas.</t>
        </r>
      </text>
    </comment>
    <comment ref="B7" authorId="0" shapeId="0" xr:uid="{7175B375-726F-C04E-A273-908AE190F899}">
      <text>
        <r>
          <rPr>
            <b/>
            <sz val="10"/>
            <color rgb="FF000000"/>
            <rFont val="Tahoma"/>
            <family val="2"/>
          </rPr>
          <t>Carlos Emmanuel Ramirez Castañon:</t>
        </r>
        <r>
          <rPr>
            <sz val="10"/>
            <color rgb="FF000000"/>
            <rFont val="Tahoma"/>
            <family val="2"/>
          </rPr>
          <t xml:space="preserve">
Source: 2 Seguimiento_Integración-Aceptación-Log impedimentos-Burndown chart.xlsx, hoja Burndown, fila W4: "corte W4 = 6/23" actualizado a 7/23 (Corte de avance).</t>
        </r>
      </text>
    </comment>
    <comment ref="B8" authorId="0" shapeId="0" xr:uid="{E9F86AEA-A5E6-9E43-A582-6AEF8267C7DC}">
      <text>
        <r>
          <rPr>
            <b/>
            <sz val="10"/>
            <color rgb="FF000000"/>
            <rFont val="Tahoma"/>
            <family val="2"/>
          </rPr>
          <t>Carlos Emmanuel Ramirez Castañon:</t>
        </r>
        <r>
          <rPr>
            <sz val="10"/>
            <color rgb="FF000000"/>
            <rFont val="Tahoma"/>
            <family val="2"/>
          </rPr>
          <t xml:space="preserve">
Source: 03.PlanTrabajo-APL, hoja PlanProyecto — alcance: 23 sitios LTE banda 41.</t>
        </r>
      </text>
    </comment>
  </commentList>
</comments>
</file>

<file path=xl/sharedStrings.xml><?xml version="1.0" encoding="utf-8"?>
<sst xmlns="http://schemas.openxmlformats.org/spreadsheetml/2006/main" count="74" uniqueCount="56">
  <si>
    <t>Fuente</t>
  </si>
  <si>
    <t>Horas evitadas (h)</t>
  </si>
  <si>
    <t>Meta de reducción</t>
  </si>
  <si>
    <t>Horas reales (h)</t>
  </si>
  <si>
    <t>Sitio / Alcance</t>
  </si>
  <si>
    <t>#</t>
  </si>
  <si>
    <t>Cumplimiento de meta y baseline de referencia (horas reales)</t>
  </si>
  <si>
    <t>Total registrado (7 sitios aceptados)</t>
  </si>
  <si>
    <t>Sin impedimentos técnicos registrados (Bitácora de Validación)</t>
  </si>
  <si>
    <t>—</t>
  </si>
  <si>
    <t>CR-004</t>
  </si>
  <si>
    <t>CR-002</t>
  </si>
  <si>
    <t>CR-019</t>
  </si>
  <si>
    <t>56h</t>
  </si>
  <si>
    <t>Log de Impedimentos, IMP-04</t>
  </si>
  <si>
    <t>~1.5 días</t>
  </si>
  <si>
    <t>IMP-04 (validación KPI extendida, zona densa)</t>
  </si>
  <si>
    <t>CR-005</t>
  </si>
  <si>
    <t>CR-003</t>
  </si>
  <si>
    <t>Log de Impedimentos, IMP-01 e IMP-02</t>
  </si>
  <si>
    <t>~4h + ~8h</t>
  </si>
  <si>
    <t>IMP-01 (ajuste template) + IMP-02 (bajo throughput)</t>
  </si>
  <si>
    <t>CR-001</t>
  </si>
  <si>
    <t>Horas (h)</t>
  </si>
  <si>
    <t>Tiempo registrado</t>
  </si>
  <si>
    <t>Impedimento(s) técnico(s)</t>
  </si>
  <si>
    <t>Sitio</t>
  </si>
  <si>
    <t>Horas-hombre de re-trabajo técnico registradas (Log de Impedimentos)</t>
  </si>
  <si>
    <t>Sitios totales del proyecto</t>
  </si>
  <si>
    <t>Sitios aceptados a la fecha (corte Semana 4)</t>
  </si>
  <si>
    <t>Equivalencia horas por día laboral (para convertir tiempos en días)</t>
  </si>
  <si>
    <t>Meta de reducción de horas-hombre de re-trabajo (PIDA)</t>
  </si>
  <si>
    <t>Supuestos</t>
  </si>
  <si>
    <t>Meta PIDA: reducir 10% las horas-hombre de re-trabajo técnico frente a proyectos equivalentes (Definición PIDA-APL, objetivo del proyecto). Corte de referencia: Semana 4.</t>
  </si>
  <si>
    <t>Reducción de Horas-Hombre de Re-trabajo Técnico</t>
  </si>
  <si>
    <t>Horas estimadas (h)</t>
  </si>
  <si>
    <t xml:space="preserve">CR-014 </t>
  </si>
  <si>
    <t>CR-006</t>
  </si>
  <si>
    <t>CR-007</t>
  </si>
  <si>
    <t>CR-008</t>
  </si>
  <si>
    <t>CR-009</t>
  </si>
  <si>
    <t>CR-011</t>
  </si>
  <si>
    <t>CR-012</t>
  </si>
  <si>
    <t>CR-013</t>
  </si>
  <si>
    <t>CR-010</t>
  </si>
  <si>
    <t>CR-015</t>
  </si>
  <si>
    <t>CR-018</t>
  </si>
  <si>
    <t>CR-021</t>
  </si>
  <si>
    <t>CR-022</t>
  </si>
  <si>
    <t>CR-016</t>
  </si>
  <si>
    <t>CR-017</t>
  </si>
  <si>
    <t>CR-020</t>
  </si>
  <si>
    <t>CR-023</t>
  </si>
  <si>
    <t xml:space="preserve">Total de horas </t>
  </si>
  <si>
    <t>Log de Impedimentos, IMP-05</t>
  </si>
  <si>
    <t>IMP-05 (plan RF desactualizado)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</si>
</sst>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rgb="FFFFFFFF"/>
      <name val="Aptos Narrow"/>
      <family val="2"/>
      <scheme val="minor"/>
    </font>
    <font>
      <sz val="12"/>
      <color rgb="FF0000FF"/>
      <name val="Aptos Narrow"/>
      <family val="2"/>
      <scheme val="minor"/>
    </font>
    <font>
      <sz val="10"/>
      <color rgb="FF555555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0"/>
      <color rgb="FF000000"/>
      <name val="Tahoma"/>
      <family val="2"/>
    </font>
    <font>
      <sz val="10"/>
      <color rgb="FF000000"/>
      <name val="Tahoma"/>
      <family val="2"/>
    </font>
    <font>
      <b/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164" fontId="1" fillId="0" borderId="1" xfId="0" applyNumberFormat="1" applyFont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wrapText="1"/>
    </xf>
    <xf numFmtId="164" fontId="0" fillId="0" borderId="5" xfId="0" applyNumberFormat="1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9" fontId="0" fillId="0" borderId="6" xfId="0" applyNumberFormat="1" applyBorder="1" applyAlignment="1">
      <alignment horizontal="center"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1" fillId="0" borderId="0" xfId="0" applyFont="1"/>
    <xf numFmtId="0" fontId="0" fillId="0" borderId="11" xfId="0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2" fillId="2" borderId="14" xfId="0" applyFont="1" applyFill="1" applyBorder="1"/>
    <xf numFmtId="0" fontId="2" fillId="2" borderId="15" xfId="0" applyFont="1" applyFill="1" applyBorder="1"/>
    <xf numFmtId="0" fontId="2" fillId="2" borderId="16" xfId="0" applyFont="1" applyFill="1" applyBorder="1"/>
    <xf numFmtId="1" fontId="3" fillId="0" borderId="0" xfId="0" applyNumberFormat="1" applyFont="1"/>
    <xf numFmtId="9" fontId="3" fillId="0" borderId="0" xfId="0" applyNumberFormat="1" applyFont="1"/>
    <xf numFmtId="0" fontId="4" fillId="0" borderId="0" xfId="0" applyFont="1"/>
    <xf numFmtId="0" fontId="5" fillId="0" borderId="0" xfId="0" applyFont="1"/>
    <xf numFmtId="0" fontId="0" fillId="0" borderId="17" xfId="0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9" fontId="0" fillId="0" borderId="5" xfId="0" applyNumberFormat="1" applyBorder="1" applyAlignment="1">
      <alignment horizontal="center" vertical="center"/>
    </xf>
    <xf numFmtId="0" fontId="0" fillId="0" borderId="18" xfId="0" applyBorder="1" applyAlignment="1">
      <alignment wrapText="1"/>
    </xf>
    <xf numFmtId="0" fontId="8" fillId="0" borderId="12" xfId="0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164" fontId="8" fillId="0" borderId="11" xfId="0" applyNumberFormat="1" applyFont="1" applyBorder="1"/>
    <xf numFmtId="10" fontId="8" fillId="0" borderId="11" xfId="0" applyNumberFormat="1" applyFont="1" applyBorder="1"/>
    <xf numFmtId="0" fontId="8" fillId="0" borderId="19" xfId="0" applyFont="1" applyBorder="1"/>
    <xf numFmtId="164" fontId="8" fillId="0" borderId="12" xfId="0" applyNumberFormat="1" applyFont="1" applyBorder="1"/>
    <xf numFmtId="164" fontId="8" fillId="0" borderId="1" xfId="0" applyNumberFormat="1" applyFont="1" applyBorder="1"/>
    <xf numFmtId="0" fontId="1" fillId="0" borderId="2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A5D81-E419-384F-8C91-174806C44E6B}">
  <dimension ref="A1:G46"/>
  <sheetViews>
    <sheetView tabSelected="1" workbookViewId="0">
      <selection activeCell="A21" sqref="A21:G46"/>
    </sheetView>
  </sheetViews>
  <sheetFormatPr baseColWidth="10" defaultRowHeight="16" x14ac:dyDescent="0.2"/>
  <cols>
    <col min="1" max="1" width="54.33203125" customWidth="1"/>
    <col min="2" max="2" width="43.33203125" customWidth="1"/>
    <col min="3" max="3" width="21.6640625" customWidth="1"/>
    <col min="4" max="4" width="18.33203125" customWidth="1"/>
    <col min="5" max="5" width="32.5" bestFit="1" customWidth="1"/>
    <col min="6" max="6" width="36.6640625" customWidth="1"/>
    <col min="7" max="7" width="33.83203125" bestFit="1" customWidth="1"/>
  </cols>
  <sheetData>
    <row r="1" spans="1:5" ht="22" x14ac:dyDescent="0.3">
      <c r="A1" s="29" t="s">
        <v>34</v>
      </c>
    </row>
    <row r="2" spans="1:5" x14ac:dyDescent="0.2">
      <c r="A2" s="28" t="s">
        <v>33</v>
      </c>
    </row>
    <row r="4" spans="1:5" x14ac:dyDescent="0.2">
      <c r="A4" s="14" t="s">
        <v>32</v>
      </c>
    </row>
    <row r="5" spans="1:5" x14ac:dyDescent="0.2">
      <c r="A5" t="s">
        <v>31</v>
      </c>
      <c r="B5" s="27">
        <v>0.1</v>
      </c>
    </row>
    <row r="6" spans="1:5" x14ac:dyDescent="0.2">
      <c r="A6" t="s">
        <v>30</v>
      </c>
      <c r="B6" s="26">
        <v>8</v>
      </c>
    </row>
    <row r="7" spans="1:5" x14ac:dyDescent="0.2">
      <c r="A7" t="s">
        <v>29</v>
      </c>
      <c r="B7" s="26">
        <v>7</v>
      </c>
    </row>
    <row r="8" spans="1:5" x14ac:dyDescent="0.2">
      <c r="A8" t="s">
        <v>28</v>
      </c>
      <c r="B8" s="26">
        <v>23</v>
      </c>
    </row>
    <row r="10" spans="1:5" ht="17" thickBot="1" x14ac:dyDescent="0.25">
      <c r="A10" s="14" t="s">
        <v>27</v>
      </c>
    </row>
    <row r="11" spans="1:5" x14ac:dyDescent="0.2">
      <c r="A11" s="25" t="s">
        <v>26</v>
      </c>
      <c r="B11" s="24" t="s">
        <v>25</v>
      </c>
      <c r="C11" s="24" t="s">
        <v>24</v>
      </c>
      <c r="D11" s="24" t="s">
        <v>23</v>
      </c>
      <c r="E11" s="23" t="s">
        <v>0</v>
      </c>
    </row>
    <row r="12" spans="1:5" ht="34" x14ac:dyDescent="0.2">
      <c r="A12" s="9" t="s">
        <v>22</v>
      </c>
      <c r="B12" s="22" t="s">
        <v>21</v>
      </c>
      <c r="C12" s="21" t="s">
        <v>20</v>
      </c>
      <c r="D12" s="6">
        <f>4+8</f>
        <v>12</v>
      </c>
      <c r="E12" s="20" t="s">
        <v>19</v>
      </c>
    </row>
    <row r="13" spans="1:5" ht="34" x14ac:dyDescent="0.2">
      <c r="A13" s="9" t="s">
        <v>18</v>
      </c>
      <c r="B13" s="22" t="s">
        <v>9</v>
      </c>
      <c r="C13" s="21" t="s">
        <v>9</v>
      </c>
      <c r="D13" s="6">
        <v>0</v>
      </c>
      <c r="E13" s="20" t="s">
        <v>8</v>
      </c>
    </row>
    <row r="14" spans="1:5" ht="17" x14ac:dyDescent="0.2">
      <c r="A14" s="9" t="s">
        <v>17</v>
      </c>
      <c r="B14" s="22" t="s">
        <v>16</v>
      </c>
      <c r="C14" s="21" t="s">
        <v>15</v>
      </c>
      <c r="D14" s="6">
        <f>1.5*$B$6</f>
        <v>12</v>
      </c>
      <c r="E14" s="20" t="s">
        <v>14</v>
      </c>
    </row>
    <row r="15" spans="1:5" ht="17" x14ac:dyDescent="0.2">
      <c r="A15" s="9" t="s">
        <v>36</v>
      </c>
      <c r="B15" s="22" t="s">
        <v>55</v>
      </c>
      <c r="C15" s="21" t="s">
        <v>13</v>
      </c>
      <c r="D15" s="6">
        <f>56</f>
        <v>56</v>
      </c>
      <c r="E15" s="20" t="s">
        <v>54</v>
      </c>
    </row>
    <row r="16" spans="1:5" ht="34" x14ac:dyDescent="0.2">
      <c r="A16" s="9" t="s">
        <v>12</v>
      </c>
      <c r="B16" s="22" t="s">
        <v>9</v>
      </c>
      <c r="C16" s="21" t="s">
        <v>9</v>
      </c>
      <c r="D16" s="6">
        <v>0</v>
      </c>
      <c r="E16" s="20" t="s">
        <v>8</v>
      </c>
    </row>
    <row r="17" spans="1:7" ht="34" x14ac:dyDescent="0.2">
      <c r="A17" s="9" t="s">
        <v>11</v>
      </c>
      <c r="B17" s="22" t="s">
        <v>9</v>
      </c>
      <c r="C17" s="21" t="s">
        <v>9</v>
      </c>
      <c r="D17" s="6">
        <v>0</v>
      </c>
      <c r="E17" s="20" t="s">
        <v>8</v>
      </c>
    </row>
    <row r="18" spans="1:7" ht="35" thickBot="1" x14ac:dyDescent="0.25">
      <c r="A18" s="3" t="s">
        <v>10</v>
      </c>
      <c r="B18" s="19" t="s">
        <v>9</v>
      </c>
      <c r="C18" s="18" t="s">
        <v>9</v>
      </c>
      <c r="D18" s="2">
        <v>0</v>
      </c>
      <c r="E18" s="17" t="s">
        <v>8</v>
      </c>
    </row>
    <row r="19" spans="1:7" ht="17" thickBot="1" x14ac:dyDescent="0.25">
      <c r="A19" s="16" t="s">
        <v>7</v>
      </c>
      <c r="B19" s="15"/>
      <c r="C19" s="15"/>
      <c r="D19" s="1">
        <f>SUM(D12:D18)</f>
        <v>80</v>
      </c>
      <c r="E19" s="10"/>
    </row>
    <row r="21" spans="1:7" ht="17" thickBot="1" x14ac:dyDescent="0.25">
      <c r="A21" s="41" t="s">
        <v>6</v>
      </c>
      <c r="B21" s="41"/>
      <c r="C21" s="41"/>
      <c r="D21" s="41"/>
      <c r="E21" s="41"/>
      <c r="F21" s="41"/>
      <c r="G21" s="41"/>
    </row>
    <row r="22" spans="1:7" s="10" customFormat="1" x14ac:dyDescent="0.2">
      <c r="A22" s="13" t="s">
        <v>5</v>
      </c>
      <c r="B22" s="12" t="s">
        <v>4</v>
      </c>
      <c r="C22" s="12" t="s">
        <v>35</v>
      </c>
      <c r="D22" s="12" t="s">
        <v>3</v>
      </c>
      <c r="E22" s="12" t="s">
        <v>2</v>
      </c>
      <c r="F22" s="12" t="s">
        <v>1</v>
      </c>
      <c r="G22" s="11" t="s">
        <v>0</v>
      </c>
    </row>
    <row r="23" spans="1:7" ht="17" x14ac:dyDescent="0.2">
      <c r="A23" s="9">
        <v>1</v>
      </c>
      <c r="B23" s="8" t="s">
        <v>22</v>
      </c>
      <c r="C23" s="6">
        <v>48</v>
      </c>
      <c r="D23" s="6">
        <v>40</v>
      </c>
      <c r="E23" s="7">
        <f>$B$5</f>
        <v>0.1</v>
      </c>
      <c r="F23" s="6">
        <f>C23-D23</f>
        <v>8</v>
      </c>
      <c r="G23" s="4" t="str">
        <f>E12</f>
        <v>Log de Impedimentos, IMP-01 e IMP-02</v>
      </c>
    </row>
    <row r="24" spans="1:7" ht="34" x14ac:dyDescent="0.2">
      <c r="A24" s="9">
        <v>2</v>
      </c>
      <c r="B24" s="8" t="s">
        <v>18</v>
      </c>
      <c r="C24" s="6">
        <v>48</v>
      </c>
      <c r="D24" s="6">
        <v>40</v>
      </c>
      <c r="E24" s="7">
        <f>$B$5</f>
        <v>0.1</v>
      </c>
      <c r="F24" s="6">
        <f t="shared" ref="F24:F29" si="0">C24-D24</f>
        <v>8</v>
      </c>
      <c r="G24" s="4" t="str">
        <f>E13</f>
        <v>Sin impedimentos técnicos registrados (Bitácora de Validación)</v>
      </c>
    </row>
    <row r="25" spans="1:7" ht="17" x14ac:dyDescent="0.2">
      <c r="A25" s="9">
        <v>3</v>
      </c>
      <c r="B25" s="8" t="s">
        <v>17</v>
      </c>
      <c r="C25" s="6">
        <v>48</v>
      </c>
      <c r="D25" s="6">
        <v>40</v>
      </c>
      <c r="E25" s="7">
        <f>$B$5</f>
        <v>0.1</v>
      </c>
      <c r="F25" s="6">
        <f t="shared" si="0"/>
        <v>8</v>
      </c>
      <c r="G25" s="4" t="str">
        <f>E14</f>
        <v>Log de Impedimentos, IMP-04</v>
      </c>
    </row>
    <row r="26" spans="1:7" ht="17" x14ac:dyDescent="0.2">
      <c r="A26" s="9">
        <v>4</v>
      </c>
      <c r="B26" s="8" t="s">
        <v>36</v>
      </c>
      <c r="C26" s="6">
        <v>48</v>
      </c>
      <c r="D26" s="6">
        <v>56</v>
      </c>
      <c r="E26" s="7">
        <f>$B$5</f>
        <v>0.1</v>
      </c>
      <c r="F26" s="6">
        <f t="shared" si="0"/>
        <v>-8</v>
      </c>
      <c r="G26" s="4" t="str">
        <f>E15</f>
        <v>Log de Impedimentos, IMP-05</v>
      </c>
    </row>
    <row r="27" spans="1:7" ht="34" x14ac:dyDescent="0.2">
      <c r="A27" s="9">
        <v>5</v>
      </c>
      <c r="B27" s="8" t="s">
        <v>12</v>
      </c>
      <c r="C27" s="6">
        <v>48</v>
      </c>
      <c r="D27" s="6">
        <v>40</v>
      </c>
      <c r="E27" s="7">
        <f>$B$5</f>
        <v>0.1</v>
      </c>
      <c r="F27" s="6">
        <f t="shared" si="0"/>
        <v>8</v>
      </c>
      <c r="G27" s="4" t="str">
        <f>E16</f>
        <v>Sin impedimentos técnicos registrados (Bitácora de Validación)</v>
      </c>
    </row>
    <row r="28" spans="1:7" ht="34" x14ac:dyDescent="0.2">
      <c r="A28" s="9">
        <v>6</v>
      </c>
      <c r="B28" s="8" t="s">
        <v>11</v>
      </c>
      <c r="C28" s="6">
        <v>48</v>
      </c>
      <c r="D28" s="6">
        <v>40</v>
      </c>
      <c r="E28" s="7">
        <f>$B$5</f>
        <v>0.1</v>
      </c>
      <c r="F28" s="6">
        <f t="shared" si="0"/>
        <v>8</v>
      </c>
      <c r="G28" s="4" t="str">
        <f>E17</f>
        <v>Sin impedimentos técnicos registrados (Bitácora de Validación)</v>
      </c>
    </row>
    <row r="29" spans="1:7" ht="35" thickBot="1" x14ac:dyDescent="0.25">
      <c r="A29" s="9">
        <v>7</v>
      </c>
      <c r="B29" s="8" t="s">
        <v>10</v>
      </c>
      <c r="C29" s="6">
        <v>48</v>
      </c>
      <c r="D29" s="6">
        <v>40</v>
      </c>
      <c r="E29" s="7">
        <f>$B$5</f>
        <v>0.1</v>
      </c>
      <c r="F29" s="6">
        <f t="shared" si="0"/>
        <v>8</v>
      </c>
      <c r="G29" s="4" t="str">
        <f>E18</f>
        <v>Sin impedimentos técnicos registrados (Bitácora de Validación)</v>
      </c>
    </row>
    <row r="30" spans="1:7" hidden="1" x14ac:dyDescent="0.2">
      <c r="A30" s="9">
        <v>8</v>
      </c>
      <c r="B30" s="8" t="s">
        <v>37</v>
      </c>
      <c r="C30" s="6"/>
      <c r="D30" s="6"/>
      <c r="E30" s="7"/>
      <c r="F30" s="6"/>
      <c r="G30" s="4"/>
    </row>
    <row r="31" spans="1:7" hidden="1" x14ac:dyDescent="0.2">
      <c r="A31" s="9">
        <v>9</v>
      </c>
      <c r="B31" s="8" t="s">
        <v>38</v>
      </c>
      <c r="C31" s="6"/>
      <c r="D31" s="6"/>
      <c r="E31" s="7"/>
      <c r="F31" s="6"/>
      <c r="G31" s="4"/>
    </row>
    <row r="32" spans="1:7" hidden="1" x14ac:dyDescent="0.2">
      <c r="A32" s="9">
        <v>10</v>
      </c>
      <c r="B32" s="8" t="s">
        <v>39</v>
      </c>
      <c r="C32" s="6"/>
      <c r="D32" s="6"/>
      <c r="E32" s="7"/>
      <c r="F32" s="6"/>
      <c r="G32" s="4"/>
    </row>
    <row r="33" spans="1:7" hidden="1" x14ac:dyDescent="0.2">
      <c r="A33" s="9">
        <v>11</v>
      </c>
      <c r="B33" s="8" t="s">
        <v>40</v>
      </c>
      <c r="C33" s="6"/>
      <c r="D33" s="6"/>
      <c r="E33" s="7"/>
      <c r="F33" s="6"/>
      <c r="G33" s="4"/>
    </row>
    <row r="34" spans="1:7" hidden="1" x14ac:dyDescent="0.2">
      <c r="A34" s="9">
        <v>12</v>
      </c>
      <c r="B34" s="8" t="s">
        <v>41</v>
      </c>
      <c r="C34" s="6"/>
      <c r="D34" s="6"/>
      <c r="E34" s="7"/>
      <c r="F34" s="6"/>
      <c r="G34" s="4"/>
    </row>
    <row r="35" spans="1:7" hidden="1" x14ac:dyDescent="0.2">
      <c r="A35" s="9">
        <v>13</v>
      </c>
      <c r="B35" s="8" t="s">
        <v>42</v>
      </c>
      <c r="C35" s="6"/>
      <c r="D35" s="6"/>
      <c r="E35" s="7"/>
      <c r="F35" s="6"/>
      <c r="G35" s="4"/>
    </row>
    <row r="36" spans="1:7" hidden="1" x14ac:dyDescent="0.2">
      <c r="A36" s="9">
        <v>14</v>
      </c>
      <c r="B36" s="8" t="s">
        <v>43</v>
      </c>
      <c r="C36" s="6"/>
      <c r="D36" s="6"/>
      <c r="E36" s="7"/>
      <c r="F36" s="6"/>
      <c r="G36" s="4"/>
    </row>
    <row r="37" spans="1:7" hidden="1" x14ac:dyDescent="0.2">
      <c r="A37" s="9">
        <v>15</v>
      </c>
      <c r="B37" s="8" t="s">
        <v>44</v>
      </c>
      <c r="C37" s="6"/>
      <c r="D37" s="6"/>
      <c r="E37" s="7"/>
      <c r="F37" s="6"/>
      <c r="G37" s="4"/>
    </row>
    <row r="38" spans="1:7" hidden="1" x14ac:dyDescent="0.2">
      <c r="A38" s="9">
        <v>16</v>
      </c>
      <c r="B38" s="8" t="s">
        <v>45</v>
      </c>
      <c r="C38" s="6"/>
      <c r="D38" s="6"/>
      <c r="E38" s="7"/>
      <c r="F38" s="6"/>
      <c r="G38" s="4"/>
    </row>
    <row r="39" spans="1:7" hidden="1" x14ac:dyDescent="0.2">
      <c r="A39" s="9">
        <v>17</v>
      </c>
      <c r="B39" s="8" t="s">
        <v>46</v>
      </c>
      <c r="C39" s="6"/>
      <c r="D39" s="6"/>
      <c r="E39" s="7"/>
      <c r="F39" s="6"/>
      <c r="G39" s="4"/>
    </row>
    <row r="40" spans="1:7" hidden="1" x14ac:dyDescent="0.2">
      <c r="A40" s="9">
        <v>18</v>
      </c>
      <c r="B40" s="8" t="s">
        <v>47</v>
      </c>
      <c r="C40" s="6"/>
      <c r="D40" s="6"/>
      <c r="E40" s="7"/>
      <c r="F40" s="6"/>
      <c r="G40" s="4"/>
    </row>
    <row r="41" spans="1:7" hidden="1" x14ac:dyDescent="0.2">
      <c r="A41" s="9">
        <v>19</v>
      </c>
      <c r="B41" s="8" t="s">
        <v>48</v>
      </c>
      <c r="C41" s="6"/>
      <c r="D41" s="6"/>
      <c r="E41" s="7"/>
      <c r="F41" s="6"/>
      <c r="G41" s="4"/>
    </row>
    <row r="42" spans="1:7" hidden="1" x14ac:dyDescent="0.2">
      <c r="A42" s="9">
        <v>20</v>
      </c>
      <c r="B42" s="8" t="s">
        <v>49</v>
      </c>
      <c r="C42" s="6"/>
      <c r="D42" s="6"/>
      <c r="E42" s="7"/>
      <c r="F42" s="6"/>
      <c r="G42" s="4"/>
    </row>
    <row r="43" spans="1:7" hidden="1" x14ac:dyDescent="0.2">
      <c r="A43" s="9">
        <v>21</v>
      </c>
      <c r="B43" s="8" t="s">
        <v>50</v>
      </c>
      <c r="C43" s="6"/>
      <c r="D43" s="6"/>
      <c r="E43" s="7"/>
      <c r="F43" s="6"/>
      <c r="G43" s="4"/>
    </row>
    <row r="44" spans="1:7" hidden="1" x14ac:dyDescent="0.2">
      <c r="A44" s="9">
        <v>22</v>
      </c>
      <c r="B44" s="8" t="s">
        <v>51</v>
      </c>
      <c r="C44" s="6"/>
      <c r="D44" s="6"/>
      <c r="E44" s="7"/>
      <c r="F44" s="6"/>
      <c r="G44" s="4"/>
    </row>
    <row r="45" spans="1:7" ht="17" hidden="1" thickBot="1" x14ac:dyDescent="0.25">
      <c r="A45" s="30">
        <v>23</v>
      </c>
      <c r="B45" s="31" t="s">
        <v>52</v>
      </c>
      <c r="C45" s="5"/>
      <c r="D45" s="5"/>
      <c r="E45" s="32"/>
      <c r="F45" s="5"/>
      <c r="G45" s="33"/>
    </row>
    <row r="46" spans="1:7" ht="17" thickBot="1" x14ac:dyDescent="0.25">
      <c r="A46" s="34" t="s">
        <v>53</v>
      </c>
      <c r="B46" s="35"/>
      <c r="C46" s="39">
        <f t="shared" ref="C46:E46" si="1">(SUM(C23:C45))</f>
        <v>336</v>
      </c>
      <c r="D46" s="40">
        <f t="shared" si="1"/>
        <v>296</v>
      </c>
      <c r="E46" s="37">
        <f>(D46/C46)-1</f>
        <v>-0.11904761904761907</v>
      </c>
      <c r="F46" s="36">
        <f>(SUM(F23:F45))</f>
        <v>40</v>
      </c>
      <c r="G46" s="38"/>
    </row>
  </sheetData>
  <mergeCells count="2">
    <mergeCell ref="A46:B46"/>
    <mergeCell ref="A21:G21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KPI Re-trabajo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Ramirez</dc:creator>
  <cp:lastModifiedBy>Carlos Ramirez</cp:lastModifiedBy>
  <dcterms:created xsi:type="dcterms:W3CDTF">2026-07-01T22:56:25Z</dcterms:created>
  <dcterms:modified xsi:type="dcterms:W3CDTF">2026-07-02T04:58:54Z</dcterms:modified>
</cp:coreProperties>
</file>